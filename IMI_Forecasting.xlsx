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098a2eda65665/Máy tính/Spring 2026/QMB6616/"/>
    </mc:Choice>
  </mc:AlternateContent>
  <xr:revisionPtr revIDLastSave="7" documentId="8_{B99F552A-5EFD-4C35-95AE-95BCAF4F4A1C}" xr6:coauthVersionLast="47" xr6:coauthVersionMax="47" xr10:uidLastSave="{5CDBEAD3-C46C-4352-8E85-F44A2E9CA49A}"/>
  <bookViews>
    <workbookView xWindow="-108" yWindow="-108" windowWidth="23256" windowHeight="12456" activeTab="4" xr2:uid="{9BC5EA0C-4CDF-45A5-8C1D-959CEB9899A4}"/>
  </bookViews>
  <sheets>
    <sheet name="Oil Price History" sheetId="1" r:id="rId1"/>
    <sheet name="Oil_Monthly" sheetId="3" r:id="rId2"/>
    <sheet name="Forecast sheet" sheetId="5" r:id="rId3"/>
    <sheet name="Future price" sheetId="6" r:id="rId4"/>
    <sheet name="Oil_price_relationship" sheetId="7" r:id="rId5"/>
  </sheets>
  <externalReferences>
    <externalReference r:id="rId6"/>
    <externalReference r:id="rId7"/>
  </externalReferenc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6" i="6" l="1"/>
  <c r="G227" i="6"/>
  <c r="G228" i="6"/>
  <c r="G229" i="6"/>
  <c r="G230" i="6"/>
  <c r="G22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" i="6"/>
  <c r="F226" i="6"/>
  <c r="F227" i="6"/>
  <c r="F228" i="6"/>
  <c r="F229" i="6"/>
  <c r="F230" i="6"/>
  <c r="F225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" i="6"/>
  <c r="E229" i="6"/>
  <c r="E226" i="6"/>
  <c r="E227" i="6"/>
  <c r="E228" i="6"/>
  <c r="E230" i="6"/>
  <c r="E225" i="6"/>
  <c r="E224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" i="6"/>
  <c r="D228" i="6"/>
  <c r="D227" i="6"/>
  <c r="D226" i="6"/>
  <c r="D229" i="6"/>
  <c r="D230" i="6"/>
  <c r="D225" i="6"/>
  <c r="D223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4" i="6"/>
  <c r="D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2" i="1"/>
  <c r="C94" i="5"/>
  <c r="C225" i="6"/>
  <c r="C226" i="6"/>
  <c r="C227" i="6"/>
  <c r="C228" i="6"/>
  <c r="C229" i="6"/>
  <c r="C230" i="6"/>
  <c r="C106" i="5"/>
  <c r="C95" i="5"/>
  <c r="C107" i="5"/>
  <c r="C96" i="5"/>
  <c r="C108" i="5"/>
  <c r="C97" i="5"/>
  <c r="C109" i="5"/>
  <c r="C98" i="5"/>
  <c r="C110" i="5"/>
  <c r="C99" i="5"/>
  <c r="C111" i="5"/>
  <c r="C100" i="5"/>
  <c r="C112" i="5"/>
  <c r="C101" i="5"/>
  <c r="C113" i="5"/>
  <c r="C102" i="5"/>
  <c r="C114" i="5"/>
  <c r="C103" i="5"/>
  <c r="C115" i="5"/>
  <c r="C104" i="5"/>
  <c r="C116" i="5"/>
  <c r="C105" i="5"/>
  <c r="C224" i="6"/>
  <c r="E105" i="5" l="1"/>
  <c r="D102" i="5"/>
  <c r="E99" i="5"/>
  <c r="D96" i="5"/>
  <c r="D105" i="5"/>
  <c r="E102" i="5"/>
  <c r="D99" i="5"/>
  <c r="E96" i="5"/>
  <c r="E111" i="5"/>
  <c r="D111" i="5"/>
  <c r="E116" i="5"/>
  <c r="E113" i="5"/>
  <c r="E110" i="5"/>
  <c r="E107" i="5"/>
  <c r="D116" i="5"/>
  <c r="D113" i="5"/>
  <c r="D110" i="5"/>
  <c r="D107" i="5"/>
  <c r="E104" i="5"/>
  <c r="D101" i="5"/>
  <c r="E98" i="5"/>
  <c r="D95" i="5"/>
  <c r="D104" i="5"/>
  <c r="E101" i="5"/>
  <c r="D98" i="5"/>
  <c r="E95" i="5"/>
  <c r="E115" i="5"/>
  <c r="E112" i="5"/>
  <c r="E109" i="5"/>
  <c r="E106" i="5"/>
  <c r="D115" i="5"/>
  <c r="D112" i="5"/>
  <c r="D109" i="5"/>
  <c r="D106" i="5"/>
  <c r="E103" i="5"/>
  <c r="D100" i="5"/>
  <c r="E97" i="5"/>
  <c r="E94" i="5"/>
  <c r="D103" i="5"/>
  <c r="E100" i="5"/>
  <c r="D97" i="5"/>
  <c r="D94" i="5"/>
  <c r="E114" i="5"/>
  <c r="D108" i="5"/>
  <c r="D114" i="5"/>
  <c r="E108" i="5"/>
</calcChain>
</file>

<file path=xl/sharedStrings.xml><?xml version="1.0" encoding="utf-8"?>
<sst xmlns="http://schemas.openxmlformats.org/spreadsheetml/2006/main" count="24" uniqueCount="19">
  <si>
    <t>Date</t>
  </si>
  <si>
    <t>Rotterdam Fuel Oil VLSFO 0.5% Sulfur - Futures</t>
  </si>
  <si>
    <t>Brent Crude Oil Futures</t>
  </si>
  <si>
    <t>Month</t>
  </si>
  <si>
    <t>Row Labels</t>
  </si>
  <si>
    <t>Grand Total</t>
  </si>
  <si>
    <t>Average of Rotterdam Fuel Oil VLSFO 0.5% Sulfur - Futures</t>
  </si>
  <si>
    <t>Average of Brent Crude Oil Futures</t>
  </si>
  <si>
    <t>Timeline</t>
  </si>
  <si>
    <t>Values</t>
  </si>
  <si>
    <t>Forecast</t>
  </si>
  <si>
    <t>Lower Confidence Bound</t>
  </si>
  <si>
    <t>Upper Confidence Bound</t>
  </si>
  <si>
    <t>Future Forecasting</t>
  </si>
  <si>
    <t>R-square = 0.94 -&gt; strong relationship</t>
  </si>
  <si>
    <t>PB-2019 BAF</t>
  </si>
  <si>
    <t>Norden-Optionals BAF</t>
  </si>
  <si>
    <t>Pheonix BAF</t>
  </si>
  <si>
    <t>EDF-2018 BAF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</si>
</sst>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7" tint="0.79998168889431442"/>
      </right>
      <top/>
      <bottom/>
      <diagonal/>
    </border>
    <border>
      <left/>
      <right/>
      <top/>
      <bottom style="thin">
        <color theme="7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2" borderId="1" xfId="0" applyFont="1" applyFill="1" applyBorder="1"/>
    <xf numFmtId="2" fontId="0" fillId="0" borderId="0" xfId="0" applyNumberFormat="1"/>
    <xf numFmtId="0" fontId="0" fillId="3" borderId="0" xfId="0" applyFill="1"/>
    <xf numFmtId="0" fontId="1" fillId="4" borderId="0" xfId="0" applyFont="1" applyFill="1"/>
    <xf numFmtId="0" fontId="0" fillId="0" borderId="2" xfId="0" applyBorder="1"/>
    <xf numFmtId="0" fontId="1" fillId="4" borderId="3" xfId="0" applyFont="1" applyFill="1" applyBorder="1"/>
    <xf numFmtId="0" fontId="2" fillId="4" borderId="0" xfId="0" applyFont="1" applyFill="1"/>
    <xf numFmtId="0" fontId="1" fillId="4" borderId="4" xfId="0" applyFont="1" applyFill="1" applyBorder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[IMI_Forecasting.xlsx]Oil_Monthly!PivotTable1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Oil_Monthly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638019606523547E-2"/>
          <c:y val="0.20740163223579547"/>
          <c:w val="0.55359714651053227"/>
          <c:h val="0.52263908751012256"/>
        </c:manualLayout>
      </c:layout>
      <c:lineChart>
        <c:grouping val="standard"/>
        <c:varyColors val="0"/>
        <c:ser>
          <c:idx val="0"/>
          <c:order val="0"/>
          <c:tx>
            <c:strRef>
              <c:f>Oil_Monthly!$B$3</c:f>
              <c:strCache>
                <c:ptCount val="1"/>
                <c:pt idx="0">
                  <c:v>Average of Rotterdam Fuel Oil VLSFO 0.5% Sulfur - Futures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Oil_Monthly!$A$4:$A$227</c:f>
              <c:strCache>
                <c:ptCount val="223"/>
                <c:pt idx="0">
                  <c:v>8/31/2007</c:v>
                </c:pt>
                <c:pt idx="1">
                  <c:v>9/30/2007</c:v>
                </c:pt>
                <c:pt idx="2">
                  <c:v>10/31/2007</c:v>
                </c:pt>
                <c:pt idx="3">
                  <c:v>11/30/2007</c:v>
                </c:pt>
                <c:pt idx="4">
                  <c:v>12/31/2007</c:v>
                </c:pt>
                <c:pt idx="5">
                  <c:v>1/31/2008</c:v>
                </c:pt>
                <c:pt idx="6">
                  <c:v>2/29/2008</c:v>
                </c:pt>
                <c:pt idx="7">
                  <c:v>3/31/2008</c:v>
                </c:pt>
                <c:pt idx="8">
                  <c:v>4/30/2008</c:v>
                </c:pt>
                <c:pt idx="9">
                  <c:v>5/31/2008</c:v>
                </c:pt>
                <c:pt idx="10">
                  <c:v>6/30/2008</c:v>
                </c:pt>
                <c:pt idx="11">
                  <c:v>7/31/2008</c:v>
                </c:pt>
                <c:pt idx="12">
                  <c:v>8/31/2008</c:v>
                </c:pt>
                <c:pt idx="13">
                  <c:v>9/30/2008</c:v>
                </c:pt>
                <c:pt idx="14">
                  <c:v>10/31/2008</c:v>
                </c:pt>
                <c:pt idx="15">
                  <c:v>11/30/2008</c:v>
                </c:pt>
                <c:pt idx="16">
                  <c:v>12/31/2008</c:v>
                </c:pt>
                <c:pt idx="17">
                  <c:v>1/31/2009</c:v>
                </c:pt>
                <c:pt idx="18">
                  <c:v>2/28/2009</c:v>
                </c:pt>
                <c:pt idx="19">
                  <c:v>3/31/2009</c:v>
                </c:pt>
                <c:pt idx="20">
                  <c:v>4/30/2009</c:v>
                </c:pt>
                <c:pt idx="21">
                  <c:v>5/31/2009</c:v>
                </c:pt>
                <c:pt idx="22">
                  <c:v>6/30/2009</c:v>
                </c:pt>
                <c:pt idx="23">
                  <c:v>7/31/2009</c:v>
                </c:pt>
                <c:pt idx="24">
                  <c:v>8/31/2009</c:v>
                </c:pt>
                <c:pt idx="25">
                  <c:v>9/30/2009</c:v>
                </c:pt>
                <c:pt idx="26">
                  <c:v>10/31/2009</c:v>
                </c:pt>
                <c:pt idx="27">
                  <c:v>11/30/2009</c:v>
                </c:pt>
                <c:pt idx="28">
                  <c:v>12/31/2009</c:v>
                </c:pt>
                <c:pt idx="29">
                  <c:v>1/31/2010</c:v>
                </c:pt>
                <c:pt idx="30">
                  <c:v>2/28/2010</c:v>
                </c:pt>
                <c:pt idx="31">
                  <c:v>3/31/2010</c:v>
                </c:pt>
                <c:pt idx="32">
                  <c:v>4/30/2010</c:v>
                </c:pt>
                <c:pt idx="33">
                  <c:v>5/31/2010</c:v>
                </c:pt>
                <c:pt idx="34">
                  <c:v>6/30/2010</c:v>
                </c:pt>
                <c:pt idx="35">
                  <c:v>7/31/2010</c:v>
                </c:pt>
                <c:pt idx="36">
                  <c:v>8/31/2010</c:v>
                </c:pt>
                <c:pt idx="37">
                  <c:v>9/30/2010</c:v>
                </c:pt>
                <c:pt idx="38">
                  <c:v>10/31/2010</c:v>
                </c:pt>
                <c:pt idx="39">
                  <c:v>11/30/2010</c:v>
                </c:pt>
                <c:pt idx="40">
                  <c:v>12/31/2010</c:v>
                </c:pt>
                <c:pt idx="41">
                  <c:v>1/31/2011</c:v>
                </c:pt>
                <c:pt idx="42">
                  <c:v>2/28/2011</c:v>
                </c:pt>
                <c:pt idx="43">
                  <c:v>3/31/2011</c:v>
                </c:pt>
                <c:pt idx="44">
                  <c:v>4/30/2011</c:v>
                </c:pt>
                <c:pt idx="45">
                  <c:v>5/31/2011</c:v>
                </c:pt>
                <c:pt idx="46">
                  <c:v>6/30/2011</c:v>
                </c:pt>
                <c:pt idx="47">
                  <c:v>7/31/2011</c:v>
                </c:pt>
                <c:pt idx="48">
                  <c:v>8/31/2011</c:v>
                </c:pt>
                <c:pt idx="49">
                  <c:v>9/30/2011</c:v>
                </c:pt>
                <c:pt idx="50">
                  <c:v>10/31/2011</c:v>
                </c:pt>
                <c:pt idx="51">
                  <c:v>11/30/2011</c:v>
                </c:pt>
                <c:pt idx="52">
                  <c:v>12/31/2011</c:v>
                </c:pt>
                <c:pt idx="53">
                  <c:v>1/31/2012</c:v>
                </c:pt>
                <c:pt idx="54">
                  <c:v>2/29/2012</c:v>
                </c:pt>
                <c:pt idx="55">
                  <c:v>3/31/2012</c:v>
                </c:pt>
                <c:pt idx="56">
                  <c:v>4/30/2012</c:v>
                </c:pt>
                <c:pt idx="57">
                  <c:v>5/31/2012</c:v>
                </c:pt>
                <c:pt idx="58">
                  <c:v>6/30/2012</c:v>
                </c:pt>
                <c:pt idx="59">
                  <c:v>7/31/2012</c:v>
                </c:pt>
                <c:pt idx="60">
                  <c:v>8/31/2012</c:v>
                </c:pt>
                <c:pt idx="61">
                  <c:v>9/30/2012</c:v>
                </c:pt>
                <c:pt idx="62">
                  <c:v>10/31/2012</c:v>
                </c:pt>
                <c:pt idx="63">
                  <c:v>11/30/2012</c:v>
                </c:pt>
                <c:pt idx="64">
                  <c:v>12/31/2012</c:v>
                </c:pt>
                <c:pt idx="65">
                  <c:v>1/31/2013</c:v>
                </c:pt>
                <c:pt idx="66">
                  <c:v>2/28/2013</c:v>
                </c:pt>
                <c:pt idx="67">
                  <c:v>3/31/2013</c:v>
                </c:pt>
                <c:pt idx="68">
                  <c:v>4/30/2013</c:v>
                </c:pt>
                <c:pt idx="69">
                  <c:v>5/31/2013</c:v>
                </c:pt>
                <c:pt idx="70">
                  <c:v>6/30/2013</c:v>
                </c:pt>
                <c:pt idx="71">
                  <c:v>7/31/2013</c:v>
                </c:pt>
                <c:pt idx="72">
                  <c:v>8/31/2013</c:v>
                </c:pt>
                <c:pt idx="73">
                  <c:v>9/30/2013</c:v>
                </c:pt>
                <c:pt idx="74">
                  <c:v>10/31/2013</c:v>
                </c:pt>
                <c:pt idx="75">
                  <c:v>11/30/2013</c:v>
                </c:pt>
                <c:pt idx="76">
                  <c:v>12/31/2013</c:v>
                </c:pt>
                <c:pt idx="77">
                  <c:v>1/31/2014</c:v>
                </c:pt>
                <c:pt idx="78">
                  <c:v>2/28/2014</c:v>
                </c:pt>
                <c:pt idx="79">
                  <c:v>3/31/2014</c:v>
                </c:pt>
                <c:pt idx="80">
                  <c:v>4/30/2014</c:v>
                </c:pt>
                <c:pt idx="81">
                  <c:v>5/31/2014</c:v>
                </c:pt>
                <c:pt idx="82">
                  <c:v>6/30/2014</c:v>
                </c:pt>
                <c:pt idx="83">
                  <c:v>7/31/2014</c:v>
                </c:pt>
                <c:pt idx="84">
                  <c:v>8/31/2014</c:v>
                </c:pt>
                <c:pt idx="85">
                  <c:v>9/30/2014</c:v>
                </c:pt>
                <c:pt idx="86">
                  <c:v>10/31/2014</c:v>
                </c:pt>
                <c:pt idx="87">
                  <c:v>11/30/2014</c:v>
                </c:pt>
                <c:pt idx="88">
                  <c:v>12/31/2014</c:v>
                </c:pt>
                <c:pt idx="89">
                  <c:v>1/31/2015</c:v>
                </c:pt>
                <c:pt idx="90">
                  <c:v>2/28/2015</c:v>
                </c:pt>
                <c:pt idx="91">
                  <c:v>3/31/2015</c:v>
                </c:pt>
                <c:pt idx="92">
                  <c:v>4/30/2015</c:v>
                </c:pt>
                <c:pt idx="93">
                  <c:v>5/31/2015</c:v>
                </c:pt>
                <c:pt idx="94">
                  <c:v>6/30/2015</c:v>
                </c:pt>
                <c:pt idx="95">
                  <c:v>7/31/2015</c:v>
                </c:pt>
                <c:pt idx="96">
                  <c:v>8/31/2015</c:v>
                </c:pt>
                <c:pt idx="97">
                  <c:v>9/30/2015</c:v>
                </c:pt>
                <c:pt idx="98">
                  <c:v>10/31/2015</c:v>
                </c:pt>
                <c:pt idx="99">
                  <c:v>11/30/2015</c:v>
                </c:pt>
                <c:pt idx="100">
                  <c:v>12/31/2015</c:v>
                </c:pt>
                <c:pt idx="101">
                  <c:v>1/31/2016</c:v>
                </c:pt>
                <c:pt idx="102">
                  <c:v>2/29/2016</c:v>
                </c:pt>
                <c:pt idx="103">
                  <c:v>3/31/2016</c:v>
                </c:pt>
                <c:pt idx="104">
                  <c:v>4/30/2016</c:v>
                </c:pt>
                <c:pt idx="105">
                  <c:v>5/31/2016</c:v>
                </c:pt>
                <c:pt idx="106">
                  <c:v>6/30/2016</c:v>
                </c:pt>
                <c:pt idx="107">
                  <c:v>7/31/2016</c:v>
                </c:pt>
                <c:pt idx="108">
                  <c:v>8/31/2016</c:v>
                </c:pt>
                <c:pt idx="109">
                  <c:v>9/30/2016</c:v>
                </c:pt>
                <c:pt idx="110">
                  <c:v>10/31/2016</c:v>
                </c:pt>
                <c:pt idx="111">
                  <c:v>11/30/2016</c:v>
                </c:pt>
                <c:pt idx="112">
                  <c:v>12/31/2016</c:v>
                </c:pt>
                <c:pt idx="113">
                  <c:v>1/31/2017</c:v>
                </c:pt>
                <c:pt idx="114">
                  <c:v>2/28/2017</c:v>
                </c:pt>
                <c:pt idx="115">
                  <c:v>3/31/2017</c:v>
                </c:pt>
                <c:pt idx="116">
                  <c:v>4/30/2017</c:v>
                </c:pt>
                <c:pt idx="117">
                  <c:v>5/31/2017</c:v>
                </c:pt>
                <c:pt idx="118">
                  <c:v>6/30/2017</c:v>
                </c:pt>
                <c:pt idx="119">
                  <c:v>7/31/2017</c:v>
                </c:pt>
                <c:pt idx="120">
                  <c:v>8/31/2017</c:v>
                </c:pt>
                <c:pt idx="121">
                  <c:v>9/30/2017</c:v>
                </c:pt>
                <c:pt idx="122">
                  <c:v>10/31/2017</c:v>
                </c:pt>
                <c:pt idx="123">
                  <c:v>11/30/2017</c:v>
                </c:pt>
                <c:pt idx="124">
                  <c:v>12/31/2017</c:v>
                </c:pt>
                <c:pt idx="125">
                  <c:v>1/31/2018</c:v>
                </c:pt>
                <c:pt idx="126">
                  <c:v>2/28/2018</c:v>
                </c:pt>
                <c:pt idx="127">
                  <c:v>3/31/2018</c:v>
                </c:pt>
                <c:pt idx="128">
                  <c:v>4/30/2018</c:v>
                </c:pt>
                <c:pt idx="129">
                  <c:v>5/31/2018</c:v>
                </c:pt>
                <c:pt idx="130">
                  <c:v>6/30/2018</c:v>
                </c:pt>
                <c:pt idx="131">
                  <c:v>7/31/2018</c:v>
                </c:pt>
                <c:pt idx="132">
                  <c:v>8/31/2018</c:v>
                </c:pt>
                <c:pt idx="133">
                  <c:v>9/30/2018</c:v>
                </c:pt>
                <c:pt idx="134">
                  <c:v>10/31/2018</c:v>
                </c:pt>
                <c:pt idx="135">
                  <c:v>11/30/2018</c:v>
                </c:pt>
                <c:pt idx="136">
                  <c:v>12/31/2018</c:v>
                </c:pt>
                <c:pt idx="137">
                  <c:v>1/31/2019</c:v>
                </c:pt>
                <c:pt idx="138">
                  <c:v>2/28/2019</c:v>
                </c:pt>
                <c:pt idx="139">
                  <c:v>3/31/2019</c:v>
                </c:pt>
                <c:pt idx="140">
                  <c:v>4/30/2019</c:v>
                </c:pt>
                <c:pt idx="141">
                  <c:v>5/31/2019</c:v>
                </c:pt>
                <c:pt idx="142">
                  <c:v>6/30/2019</c:v>
                </c:pt>
                <c:pt idx="143">
                  <c:v>7/31/2019</c:v>
                </c:pt>
                <c:pt idx="144">
                  <c:v>8/31/2019</c:v>
                </c:pt>
                <c:pt idx="145">
                  <c:v>9/30/2019</c:v>
                </c:pt>
                <c:pt idx="146">
                  <c:v>10/31/2019</c:v>
                </c:pt>
                <c:pt idx="147">
                  <c:v>11/30/2019</c:v>
                </c:pt>
                <c:pt idx="148">
                  <c:v>12/31/2019</c:v>
                </c:pt>
                <c:pt idx="149">
                  <c:v>1/31/2020</c:v>
                </c:pt>
                <c:pt idx="150">
                  <c:v>2/29/2020</c:v>
                </c:pt>
                <c:pt idx="151">
                  <c:v>3/31/2020</c:v>
                </c:pt>
                <c:pt idx="152">
                  <c:v>4/30/2020</c:v>
                </c:pt>
                <c:pt idx="153">
                  <c:v>5/31/2020</c:v>
                </c:pt>
                <c:pt idx="154">
                  <c:v>6/30/2020</c:v>
                </c:pt>
                <c:pt idx="155">
                  <c:v>7/31/2020</c:v>
                </c:pt>
                <c:pt idx="156">
                  <c:v>8/31/2020</c:v>
                </c:pt>
                <c:pt idx="157">
                  <c:v>9/30/2020</c:v>
                </c:pt>
                <c:pt idx="158">
                  <c:v>10/31/2020</c:v>
                </c:pt>
                <c:pt idx="159">
                  <c:v>11/30/2020</c:v>
                </c:pt>
                <c:pt idx="160">
                  <c:v>12/31/2020</c:v>
                </c:pt>
                <c:pt idx="161">
                  <c:v>1/31/2021</c:v>
                </c:pt>
                <c:pt idx="162">
                  <c:v>2/28/2021</c:v>
                </c:pt>
                <c:pt idx="163">
                  <c:v>3/31/2021</c:v>
                </c:pt>
                <c:pt idx="164">
                  <c:v>4/30/2021</c:v>
                </c:pt>
                <c:pt idx="165">
                  <c:v>5/31/2021</c:v>
                </c:pt>
                <c:pt idx="166">
                  <c:v>6/30/2021</c:v>
                </c:pt>
                <c:pt idx="167">
                  <c:v>7/31/2021</c:v>
                </c:pt>
                <c:pt idx="168">
                  <c:v>8/31/2021</c:v>
                </c:pt>
                <c:pt idx="169">
                  <c:v>9/30/2021</c:v>
                </c:pt>
                <c:pt idx="170">
                  <c:v>10/31/2021</c:v>
                </c:pt>
                <c:pt idx="171">
                  <c:v>11/30/2021</c:v>
                </c:pt>
                <c:pt idx="172">
                  <c:v>12/31/2021</c:v>
                </c:pt>
                <c:pt idx="173">
                  <c:v>1/31/2022</c:v>
                </c:pt>
                <c:pt idx="174">
                  <c:v>2/28/2022</c:v>
                </c:pt>
                <c:pt idx="175">
                  <c:v>3/31/2022</c:v>
                </c:pt>
                <c:pt idx="176">
                  <c:v>4/30/2022</c:v>
                </c:pt>
                <c:pt idx="177">
                  <c:v>5/31/2022</c:v>
                </c:pt>
                <c:pt idx="178">
                  <c:v>6/30/2022</c:v>
                </c:pt>
                <c:pt idx="179">
                  <c:v>7/31/2022</c:v>
                </c:pt>
                <c:pt idx="180">
                  <c:v>8/31/2022</c:v>
                </c:pt>
                <c:pt idx="181">
                  <c:v>9/30/2022</c:v>
                </c:pt>
                <c:pt idx="182">
                  <c:v>10/31/2022</c:v>
                </c:pt>
                <c:pt idx="183">
                  <c:v>11/30/2022</c:v>
                </c:pt>
                <c:pt idx="184">
                  <c:v>12/31/2022</c:v>
                </c:pt>
                <c:pt idx="185">
                  <c:v>1/31/2023</c:v>
                </c:pt>
                <c:pt idx="186">
                  <c:v>2/28/2023</c:v>
                </c:pt>
                <c:pt idx="187">
                  <c:v>3/31/2023</c:v>
                </c:pt>
                <c:pt idx="188">
                  <c:v>4/30/2023</c:v>
                </c:pt>
                <c:pt idx="189">
                  <c:v>5/31/2023</c:v>
                </c:pt>
                <c:pt idx="190">
                  <c:v>6/30/2023</c:v>
                </c:pt>
                <c:pt idx="191">
                  <c:v>7/31/2023</c:v>
                </c:pt>
                <c:pt idx="192">
                  <c:v>8/31/2023</c:v>
                </c:pt>
                <c:pt idx="193">
                  <c:v>9/30/2023</c:v>
                </c:pt>
                <c:pt idx="194">
                  <c:v>10/31/2023</c:v>
                </c:pt>
                <c:pt idx="195">
                  <c:v>11/30/2023</c:v>
                </c:pt>
                <c:pt idx="196">
                  <c:v>12/31/2023</c:v>
                </c:pt>
                <c:pt idx="197">
                  <c:v>1/31/2024</c:v>
                </c:pt>
                <c:pt idx="198">
                  <c:v>2/29/2024</c:v>
                </c:pt>
                <c:pt idx="199">
                  <c:v>3/31/2024</c:v>
                </c:pt>
                <c:pt idx="200">
                  <c:v>4/30/2024</c:v>
                </c:pt>
                <c:pt idx="201">
                  <c:v>5/31/2024</c:v>
                </c:pt>
                <c:pt idx="202">
                  <c:v>6/30/2024</c:v>
                </c:pt>
                <c:pt idx="203">
                  <c:v>7/31/2024</c:v>
                </c:pt>
                <c:pt idx="204">
                  <c:v>8/31/2024</c:v>
                </c:pt>
                <c:pt idx="205">
                  <c:v>9/30/2024</c:v>
                </c:pt>
                <c:pt idx="206">
                  <c:v>10/31/2024</c:v>
                </c:pt>
                <c:pt idx="207">
                  <c:v>11/30/2024</c:v>
                </c:pt>
                <c:pt idx="208">
                  <c:v>12/31/2024</c:v>
                </c:pt>
                <c:pt idx="209">
                  <c:v>1/31/2025</c:v>
                </c:pt>
                <c:pt idx="210">
                  <c:v>2/28/2025</c:v>
                </c:pt>
                <c:pt idx="211">
                  <c:v>3/31/2025</c:v>
                </c:pt>
                <c:pt idx="212">
                  <c:v>4/30/2025</c:v>
                </c:pt>
                <c:pt idx="213">
                  <c:v>5/31/2025</c:v>
                </c:pt>
                <c:pt idx="214">
                  <c:v>6/30/2025</c:v>
                </c:pt>
                <c:pt idx="215">
                  <c:v>7/31/2025</c:v>
                </c:pt>
                <c:pt idx="216">
                  <c:v>8/31/2025</c:v>
                </c:pt>
                <c:pt idx="217">
                  <c:v>9/30/2025</c:v>
                </c:pt>
                <c:pt idx="218">
                  <c:v>10/31/2025</c:v>
                </c:pt>
                <c:pt idx="219">
                  <c:v>11/30/2025</c:v>
                </c:pt>
                <c:pt idx="220">
                  <c:v>12/31/2025</c:v>
                </c:pt>
                <c:pt idx="221">
                  <c:v>1/31/2026</c:v>
                </c:pt>
                <c:pt idx="222">
                  <c:v>2/28/2026</c:v>
                </c:pt>
              </c:strCache>
            </c:strRef>
          </c:cat>
          <c:val>
            <c:numRef>
              <c:f>Oil_Monthly!$B$4:$B$227</c:f>
              <c:numCache>
                <c:formatCode>General</c:formatCode>
                <c:ptCount val="223"/>
                <c:pt idx="131">
                  <c:v>536.40750000000003</c:v>
                </c:pt>
                <c:pt idx="132">
                  <c:v>534.63200000000006</c:v>
                </c:pt>
                <c:pt idx="133">
                  <c:v>556.38499999999999</c:v>
                </c:pt>
                <c:pt idx="134">
                  <c:v>584.66249999999991</c:v>
                </c:pt>
                <c:pt idx="135">
                  <c:v>497.12399999999997</c:v>
                </c:pt>
                <c:pt idx="136">
                  <c:v>426.30250000000001</c:v>
                </c:pt>
                <c:pt idx="137">
                  <c:v>451.64750000000004</c:v>
                </c:pt>
                <c:pt idx="138">
                  <c:v>485.96749999999997</c:v>
                </c:pt>
                <c:pt idx="139">
                  <c:v>496.51800000000003</c:v>
                </c:pt>
                <c:pt idx="140">
                  <c:v>515.23</c:v>
                </c:pt>
                <c:pt idx="141">
                  <c:v>507.904</c:v>
                </c:pt>
                <c:pt idx="142">
                  <c:v>480.36500000000001</c:v>
                </c:pt>
                <c:pt idx="143">
                  <c:v>489.84250000000003</c:v>
                </c:pt>
                <c:pt idx="144">
                  <c:v>455.56400000000002</c:v>
                </c:pt>
                <c:pt idx="145">
                  <c:v>466.37749999999994</c:v>
                </c:pt>
                <c:pt idx="146">
                  <c:v>468.10499999999996</c:v>
                </c:pt>
                <c:pt idx="147">
                  <c:v>475.19800000000004</c:v>
                </c:pt>
                <c:pt idx="148">
                  <c:v>514.59249999999997</c:v>
                </c:pt>
                <c:pt idx="149">
                  <c:v>506.18399999999991</c:v>
                </c:pt>
                <c:pt idx="150">
                  <c:v>421.16750000000002</c:v>
                </c:pt>
                <c:pt idx="151">
                  <c:v>258.60000000000002</c:v>
                </c:pt>
                <c:pt idx="152">
                  <c:v>219.68499999999997</c:v>
                </c:pt>
                <c:pt idx="153">
                  <c:v>224.75200000000001</c:v>
                </c:pt>
                <c:pt idx="154">
                  <c:v>278.065</c:v>
                </c:pt>
                <c:pt idx="155">
                  <c:v>303.18400000000003</c:v>
                </c:pt>
                <c:pt idx="156">
                  <c:v>307.63499999999999</c:v>
                </c:pt>
                <c:pt idx="157">
                  <c:v>287.58500000000004</c:v>
                </c:pt>
                <c:pt idx="158">
                  <c:v>292.66399999999999</c:v>
                </c:pt>
                <c:pt idx="159">
                  <c:v>318.21749999999997</c:v>
                </c:pt>
                <c:pt idx="160">
                  <c:v>363.89249999999998</c:v>
                </c:pt>
                <c:pt idx="161">
                  <c:v>395.30399999999997</c:v>
                </c:pt>
                <c:pt idx="162">
                  <c:v>456.15750000000003</c:v>
                </c:pt>
                <c:pt idx="163">
                  <c:v>473.22749999999996</c:v>
                </c:pt>
                <c:pt idx="164">
                  <c:v>458.65800000000002</c:v>
                </c:pt>
                <c:pt idx="165">
                  <c:v>469.65250000000003</c:v>
                </c:pt>
                <c:pt idx="166">
                  <c:v>504.29750000000001</c:v>
                </c:pt>
                <c:pt idx="167">
                  <c:v>516.52600000000007</c:v>
                </c:pt>
                <c:pt idx="168">
                  <c:v>480.90999999999997</c:v>
                </c:pt>
                <c:pt idx="169">
                  <c:v>511.43499999999995</c:v>
                </c:pt>
                <c:pt idx="170">
                  <c:v>565.36799999999994</c:v>
                </c:pt>
                <c:pt idx="171">
                  <c:v>540.59249999999997</c:v>
                </c:pt>
                <c:pt idx="172">
                  <c:v>519.98800000000006</c:v>
                </c:pt>
                <c:pt idx="173">
                  <c:v>596.9375</c:v>
                </c:pt>
                <c:pt idx="174">
                  <c:v>658.24250000000006</c:v>
                </c:pt>
                <c:pt idx="175">
                  <c:v>791.4325</c:v>
                </c:pt>
                <c:pt idx="176">
                  <c:v>740.78800000000001</c:v>
                </c:pt>
                <c:pt idx="177">
                  <c:v>779.58</c:v>
                </c:pt>
                <c:pt idx="178">
                  <c:v>829.05000000000007</c:v>
                </c:pt>
                <c:pt idx="179">
                  <c:v>720.85799999999995</c:v>
                </c:pt>
                <c:pt idx="180">
                  <c:v>653.76750000000004</c:v>
                </c:pt>
                <c:pt idx="181">
                  <c:v>596.35599999999999</c:v>
                </c:pt>
                <c:pt idx="182">
                  <c:v>611.70749999999998</c:v>
                </c:pt>
                <c:pt idx="183">
                  <c:v>563.98</c:v>
                </c:pt>
                <c:pt idx="184">
                  <c:v>502.95</c:v>
                </c:pt>
                <c:pt idx="185">
                  <c:v>538.4</c:v>
                </c:pt>
                <c:pt idx="186">
                  <c:v>534.17750000000001</c:v>
                </c:pt>
                <c:pt idx="187">
                  <c:v>513.548</c:v>
                </c:pt>
                <c:pt idx="188">
                  <c:v>533.38000000000011</c:v>
                </c:pt>
                <c:pt idx="189">
                  <c:v>488.13750000000005</c:v>
                </c:pt>
                <c:pt idx="190">
                  <c:v>502.49399999999997</c:v>
                </c:pt>
                <c:pt idx="191">
                  <c:v>529.44749999999999</c:v>
                </c:pt>
                <c:pt idx="192">
                  <c:v>571.76250000000005</c:v>
                </c:pt>
                <c:pt idx="193">
                  <c:v>590.72799999999995</c:v>
                </c:pt>
                <c:pt idx="194">
                  <c:v>571.15750000000003</c:v>
                </c:pt>
                <c:pt idx="195">
                  <c:v>540.5474999999999</c:v>
                </c:pt>
                <c:pt idx="196">
                  <c:v>520.84799999999996</c:v>
                </c:pt>
                <c:pt idx="197">
                  <c:v>534.32249999999999</c:v>
                </c:pt>
                <c:pt idx="198">
                  <c:v>548.745</c:v>
                </c:pt>
                <c:pt idx="199">
                  <c:v>573.97</c:v>
                </c:pt>
                <c:pt idx="200">
                  <c:v>592.48</c:v>
                </c:pt>
                <c:pt idx="201">
                  <c:v>542.73400000000004</c:v>
                </c:pt>
                <c:pt idx="202">
                  <c:v>542.56000000000006</c:v>
                </c:pt>
                <c:pt idx="203">
                  <c:v>547.67250000000001</c:v>
                </c:pt>
                <c:pt idx="204">
                  <c:v>521.60600000000011</c:v>
                </c:pt>
                <c:pt idx="205">
                  <c:v>486.39249999999993</c:v>
                </c:pt>
                <c:pt idx="206">
                  <c:v>513.46749999999997</c:v>
                </c:pt>
                <c:pt idx="207">
                  <c:v>490.34199999999998</c:v>
                </c:pt>
                <c:pt idx="208">
                  <c:v>505.13249999999999</c:v>
                </c:pt>
                <c:pt idx="209">
                  <c:v>524.976</c:v>
                </c:pt>
                <c:pt idx="210">
                  <c:v>502.67249999999996</c:v>
                </c:pt>
                <c:pt idx="211">
                  <c:v>468.57749999999999</c:v>
                </c:pt>
                <c:pt idx="212">
                  <c:v>437.19749999999999</c:v>
                </c:pt>
                <c:pt idx="213">
                  <c:v>438.07</c:v>
                </c:pt>
                <c:pt idx="214">
                  <c:v>481.86999999999995</c:v>
                </c:pt>
                <c:pt idx="215">
                  <c:v>468.49749999999995</c:v>
                </c:pt>
                <c:pt idx="216">
                  <c:v>457.09000000000003</c:v>
                </c:pt>
                <c:pt idx="217">
                  <c:v>435.1</c:v>
                </c:pt>
                <c:pt idx="218">
                  <c:v>411.58199999999999</c:v>
                </c:pt>
                <c:pt idx="219">
                  <c:v>402.58500000000004</c:v>
                </c:pt>
                <c:pt idx="220">
                  <c:v>380.79749999999996</c:v>
                </c:pt>
                <c:pt idx="221">
                  <c:v>392.19200000000001</c:v>
                </c:pt>
                <c:pt idx="222">
                  <c:v>416.45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A-4B7F-8A1D-9BC5F63C9C2C}"/>
            </c:ext>
          </c:extLst>
        </c:ser>
        <c:ser>
          <c:idx val="1"/>
          <c:order val="1"/>
          <c:tx>
            <c:strRef>
              <c:f>Oil_Monthly!$C$3</c:f>
              <c:strCache>
                <c:ptCount val="1"/>
                <c:pt idx="0">
                  <c:v>Average of Brent Crude Oil Futures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Oil_Monthly!$A$4:$A$227</c:f>
              <c:strCache>
                <c:ptCount val="223"/>
                <c:pt idx="0">
                  <c:v>8/31/2007</c:v>
                </c:pt>
                <c:pt idx="1">
                  <c:v>9/30/2007</c:v>
                </c:pt>
                <c:pt idx="2">
                  <c:v>10/31/2007</c:v>
                </c:pt>
                <c:pt idx="3">
                  <c:v>11/30/2007</c:v>
                </c:pt>
                <c:pt idx="4">
                  <c:v>12/31/2007</c:v>
                </c:pt>
                <c:pt idx="5">
                  <c:v>1/31/2008</c:v>
                </c:pt>
                <c:pt idx="6">
                  <c:v>2/29/2008</c:v>
                </c:pt>
                <c:pt idx="7">
                  <c:v>3/31/2008</c:v>
                </c:pt>
                <c:pt idx="8">
                  <c:v>4/30/2008</c:v>
                </c:pt>
                <c:pt idx="9">
                  <c:v>5/31/2008</c:v>
                </c:pt>
                <c:pt idx="10">
                  <c:v>6/30/2008</c:v>
                </c:pt>
                <c:pt idx="11">
                  <c:v>7/31/2008</c:v>
                </c:pt>
                <c:pt idx="12">
                  <c:v>8/31/2008</c:v>
                </c:pt>
                <c:pt idx="13">
                  <c:v>9/30/2008</c:v>
                </c:pt>
                <c:pt idx="14">
                  <c:v>10/31/2008</c:v>
                </c:pt>
                <c:pt idx="15">
                  <c:v>11/30/2008</c:v>
                </c:pt>
                <c:pt idx="16">
                  <c:v>12/31/2008</c:v>
                </c:pt>
                <c:pt idx="17">
                  <c:v>1/31/2009</c:v>
                </c:pt>
                <c:pt idx="18">
                  <c:v>2/28/2009</c:v>
                </c:pt>
                <c:pt idx="19">
                  <c:v>3/31/2009</c:v>
                </c:pt>
                <c:pt idx="20">
                  <c:v>4/30/2009</c:v>
                </c:pt>
                <c:pt idx="21">
                  <c:v>5/31/2009</c:v>
                </c:pt>
                <c:pt idx="22">
                  <c:v>6/30/2009</c:v>
                </c:pt>
                <c:pt idx="23">
                  <c:v>7/31/2009</c:v>
                </c:pt>
                <c:pt idx="24">
                  <c:v>8/31/2009</c:v>
                </c:pt>
                <c:pt idx="25">
                  <c:v>9/30/2009</c:v>
                </c:pt>
                <c:pt idx="26">
                  <c:v>10/31/2009</c:v>
                </c:pt>
                <c:pt idx="27">
                  <c:v>11/30/2009</c:v>
                </c:pt>
                <c:pt idx="28">
                  <c:v>12/31/2009</c:v>
                </c:pt>
                <c:pt idx="29">
                  <c:v>1/31/2010</c:v>
                </c:pt>
                <c:pt idx="30">
                  <c:v>2/28/2010</c:v>
                </c:pt>
                <c:pt idx="31">
                  <c:v>3/31/2010</c:v>
                </c:pt>
                <c:pt idx="32">
                  <c:v>4/30/2010</c:v>
                </c:pt>
                <c:pt idx="33">
                  <c:v>5/31/2010</c:v>
                </c:pt>
                <c:pt idx="34">
                  <c:v>6/30/2010</c:v>
                </c:pt>
                <c:pt idx="35">
                  <c:v>7/31/2010</c:v>
                </c:pt>
                <c:pt idx="36">
                  <c:v>8/31/2010</c:v>
                </c:pt>
                <c:pt idx="37">
                  <c:v>9/30/2010</c:v>
                </c:pt>
                <c:pt idx="38">
                  <c:v>10/31/2010</c:v>
                </c:pt>
                <c:pt idx="39">
                  <c:v>11/30/2010</c:v>
                </c:pt>
                <c:pt idx="40">
                  <c:v>12/31/2010</c:v>
                </c:pt>
                <c:pt idx="41">
                  <c:v>1/31/2011</c:v>
                </c:pt>
                <c:pt idx="42">
                  <c:v>2/28/2011</c:v>
                </c:pt>
                <c:pt idx="43">
                  <c:v>3/31/2011</c:v>
                </c:pt>
                <c:pt idx="44">
                  <c:v>4/30/2011</c:v>
                </c:pt>
                <c:pt idx="45">
                  <c:v>5/31/2011</c:v>
                </c:pt>
                <c:pt idx="46">
                  <c:v>6/30/2011</c:v>
                </c:pt>
                <c:pt idx="47">
                  <c:v>7/31/2011</c:v>
                </c:pt>
                <c:pt idx="48">
                  <c:v>8/31/2011</c:v>
                </c:pt>
                <c:pt idx="49">
                  <c:v>9/30/2011</c:v>
                </c:pt>
                <c:pt idx="50">
                  <c:v>10/31/2011</c:v>
                </c:pt>
                <c:pt idx="51">
                  <c:v>11/30/2011</c:v>
                </c:pt>
                <c:pt idx="52">
                  <c:v>12/31/2011</c:v>
                </c:pt>
                <c:pt idx="53">
                  <c:v>1/31/2012</c:v>
                </c:pt>
                <c:pt idx="54">
                  <c:v>2/29/2012</c:v>
                </c:pt>
                <c:pt idx="55">
                  <c:v>3/31/2012</c:v>
                </c:pt>
                <c:pt idx="56">
                  <c:v>4/30/2012</c:v>
                </c:pt>
                <c:pt idx="57">
                  <c:v>5/31/2012</c:v>
                </c:pt>
                <c:pt idx="58">
                  <c:v>6/30/2012</c:v>
                </c:pt>
                <c:pt idx="59">
                  <c:v>7/31/2012</c:v>
                </c:pt>
                <c:pt idx="60">
                  <c:v>8/31/2012</c:v>
                </c:pt>
                <c:pt idx="61">
                  <c:v>9/30/2012</c:v>
                </c:pt>
                <c:pt idx="62">
                  <c:v>10/31/2012</c:v>
                </c:pt>
                <c:pt idx="63">
                  <c:v>11/30/2012</c:v>
                </c:pt>
                <c:pt idx="64">
                  <c:v>12/31/2012</c:v>
                </c:pt>
                <c:pt idx="65">
                  <c:v>1/31/2013</c:v>
                </c:pt>
                <c:pt idx="66">
                  <c:v>2/28/2013</c:v>
                </c:pt>
                <c:pt idx="67">
                  <c:v>3/31/2013</c:v>
                </c:pt>
                <c:pt idx="68">
                  <c:v>4/30/2013</c:v>
                </c:pt>
                <c:pt idx="69">
                  <c:v>5/31/2013</c:v>
                </c:pt>
                <c:pt idx="70">
                  <c:v>6/30/2013</c:v>
                </c:pt>
                <c:pt idx="71">
                  <c:v>7/31/2013</c:v>
                </c:pt>
                <c:pt idx="72">
                  <c:v>8/31/2013</c:v>
                </c:pt>
                <c:pt idx="73">
                  <c:v>9/30/2013</c:v>
                </c:pt>
                <c:pt idx="74">
                  <c:v>10/31/2013</c:v>
                </c:pt>
                <c:pt idx="75">
                  <c:v>11/30/2013</c:v>
                </c:pt>
                <c:pt idx="76">
                  <c:v>12/31/2013</c:v>
                </c:pt>
                <c:pt idx="77">
                  <c:v>1/31/2014</c:v>
                </c:pt>
                <c:pt idx="78">
                  <c:v>2/28/2014</c:v>
                </c:pt>
                <c:pt idx="79">
                  <c:v>3/31/2014</c:v>
                </c:pt>
                <c:pt idx="80">
                  <c:v>4/30/2014</c:v>
                </c:pt>
                <c:pt idx="81">
                  <c:v>5/31/2014</c:v>
                </c:pt>
                <c:pt idx="82">
                  <c:v>6/30/2014</c:v>
                </c:pt>
                <c:pt idx="83">
                  <c:v>7/31/2014</c:v>
                </c:pt>
                <c:pt idx="84">
                  <c:v>8/31/2014</c:v>
                </c:pt>
                <c:pt idx="85">
                  <c:v>9/30/2014</c:v>
                </c:pt>
                <c:pt idx="86">
                  <c:v>10/31/2014</c:v>
                </c:pt>
                <c:pt idx="87">
                  <c:v>11/30/2014</c:v>
                </c:pt>
                <c:pt idx="88">
                  <c:v>12/31/2014</c:v>
                </c:pt>
                <c:pt idx="89">
                  <c:v>1/31/2015</c:v>
                </c:pt>
                <c:pt idx="90">
                  <c:v>2/28/2015</c:v>
                </c:pt>
                <c:pt idx="91">
                  <c:v>3/31/2015</c:v>
                </c:pt>
                <c:pt idx="92">
                  <c:v>4/30/2015</c:v>
                </c:pt>
                <c:pt idx="93">
                  <c:v>5/31/2015</c:v>
                </c:pt>
                <c:pt idx="94">
                  <c:v>6/30/2015</c:v>
                </c:pt>
                <c:pt idx="95">
                  <c:v>7/31/2015</c:v>
                </c:pt>
                <c:pt idx="96">
                  <c:v>8/31/2015</c:v>
                </c:pt>
                <c:pt idx="97">
                  <c:v>9/30/2015</c:v>
                </c:pt>
                <c:pt idx="98">
                  <c:v>10/31/2015</c:v>
                </c:pt>
                <c:pt idx="99">
                  <c:v>11/30/2015</c:v>
                </c:pt>
                <c:pt idx="100">
                  <c:v>12/31/2015</c:v>
                </c:pt>
                <c:pt idx="101">
                  <c:v>1/31/2016</c:v>
                </c:pt>
                <c:pt idx="102">
                  <c:v>2/29/2016</c:v>
                </c:pt>
                <c:pt idx="103">
                  <c:v>3/31/2016</c:v>
                </c:pt>
                <c:pt idx="104">
                  <c:v>4/30/2016</c:v>
                </c:pt>
                <c:pt idx="105">
                  <c:v>5/31/2016</c:v>
                </c:pt>
                <c:pt idx="106">
                  <c:v>6/30/2016</c:v>
                </c:pt>
                <c:pt idx="107">
                  <c:v>7/31/2016</c:v>
                </c:pt>
                <c:pt idx="108">
                  <c:v>8/31/2016</c:v>
                </c:pt>
                <c:pt idx="109">
                  <c:v>9/30/2016</c:v>
                </c:pt>
                <c:pt idx="110">
                  <c:v>10/31/2016</c:v>
                </c:pt>
                <c:pt idx="111">
                  <c:v>11/30/2016</c:v>
                </c:pt>
                <c:pt idx="112">
                  <c:v>12/31/2016</c:v>
                </c:pt>
                <c:pt idx="113">
                  <c:v>1/31/2017</c:v>
                </c:pt>
                <c:pt idx="114">
                  <c:v>2/28/2017</c:v>
                </c:pt>
                <c:pt idx="115">
                  <c:v>3/31/2017</c:v>
                </c:pt>
                <c:pt idx="116">
                  <c:v>4/30/2017</c:v>
                </c:pt>
                <c:pt idx="117">
                  <c:v>5/31/2017</c:v>
                </c:pt>
                <c:pt idx="118">
                  <c:v>6/30/2017</c:v>
                </c:pt>
                <c:pt idx="119">
                  <c:v>7/31/2017</c:v>
                </c:pt>
                <c:pt idx="120">
                  <c:v>8/31/2017</c:v>
                </c:pt>
                <c:pt idx="121">
                  <c:v>9/30/2017</c:v>
                </c:pt>
                <c:pt idx="122">
                  <c:v>10/31/2017</c:v>
                </c:pt>
                <c:pt idx="123">
                  <c:v>11/30/2017</c:v>
                </c:pt>
                <c:pt idx="124">
                  <c:v>12/31/2017</c:v>
                </c:pt>
                <c:pt idx="125">
                  <c:v>1/31/2018</c:v>
                </c:pt>
                <c:pt idx="126">
                  <c:v>2/28/2018</c:v>
                </c:pt>
                <c:pt idx="127">
                  <c:v>3/31/2018</c:v>
                </c:pt>
                <c:pt idx="128">
                  <c:v>4/30/2018</c:v>
                </c:pt>
                <c:pt idx="129">
                  <c:v>5/31/2018</c:v>
                </c:pt>
                <c:pt idx="130">
                  <c:v>6/30/2018</c:v>
                </c:pt>
                <c:pt idx="131">
                  <c:v>7/31/2018</c:v>
                </c:pt>
                <c:pt idx="132">
                  <c:v>8/31/2018</c:v>
                </c:pt>
                <c:pt idx="133">
                  <c:v>9/30/2018</c:v>
                </c:pt>
                <c:pt idx="134">
                  <c:v>10/31/2018</c:v>
                </c:pt>
                <c:pt idx="135">
                  <c:v>11/30/2018</c:v>
                </c:pt>
                <c:pt idx="136">
                  <c:v>12/31/2018</c:v>
                </c:pt>
                <c:pt idx="137">
                  <c:v>1/31/2019</c:v>
                </c:pt>
                <c:pt idx="138">
                  <c:v>2/28/2019</c:v>
                </c:pt>
                <c:pt idx="139">
                  <c:v>3/31/2019</c:v>
                </c:pt>
                <c:pt idx="140">
                  <c:v>4/30/2019</c:v>
                </c:pt>
                <c:pt idx="141">
                  <c:v>5/31/2019</c:v>
                </c:pt>
                <c:pt idx="142">
                  <c:v>6/30/2019</c:v>
                </c:pt>
                <c:pt idx="143">
                  <c:v>7/31/2019</c:v>
                </c:pt>
                <c:pt idx="144">
                  <c:v>8/31/2019</c:v>
                </c:pt>
                <c:pt idx="145">
                  <c:v>9/30/2019</c:v>
                </c:pt>
                <c:pt idx="146">
                  <c:v>10/31/2019</c:v>
                </c:pt>
                <c:pt idx="147">
                  <c:v>11/30/2019</c:v>
                </c:pt>
                <c:pt idx="148">
                  <c:v>12/31/2019</c:v>
                </c:pt>
                <c:pt idx="149">
                  <c:v>1/31/2020</c:v>
                </c:pt>
                <c:pt idx="150">
                  <c:v>2/29/2020</c:v>
                </c:pt>
                <c:pt idx="151">
                  <c:v>3/31/2020</c:v>
                </c:pt>
                <c:pt idx="152">
                  <c:v>4/30/2020</c:v>
                </c:pt>
                <c:pt idx="153">
                  <c:v>5/31/2020</c:v>
                </c:pt>
                <c:pt idx="154">
                  <c:v>6/30/2020</c:v>
                </c:pt>
                <c:pt idx="155">
                  <c:v>7/31/2020</c:v>
                </c:pt>
                <c:pt idx="156">
                  <c:v>8/31/2020</c:v>
                </c:pt>
                <c:pt idx="157">
                  <c:v>9/30/2020</c:v>
                </c:pt>
                <c:pt idx="158">
                  <c:v>10/31/2020</c:v>
                </c:pt>
                <c:pt idx="159">
                  <c:v>11/30/2020</c:v>
                </c:pt>
                <c:pt idx="160">
                  <c:v>12/31/2020</c:v>
                </c:pt>
                <c:pt idx="161">
                  <c:v>1/31/2021</c:v>
                </c:pt>
                <c:pt idx="162">
                  <c:v>2/28/2021</c:v>
                </c:pt>
                <c:pt idx="163">
                  <c:v>3/31/2021</c:v>
                </c:pt>
                <c:pt idx="164">
                  <c:v>4/30/2021</c:v>
                </c:pt>
                <c:pt idx="165">
                  <c:v>5/31/2021</c:v>
                </c:pt>
                <c:pt idx="166">
                  <c:v>6/30/2021</c:v>
                </c:pt>
                <c:pt idx="167">
                  <c:v>7/31/2021</c:v>
                </c:pt>
                <c:pt idx="168">
                  <c:v>8/31/2021</c:v>
                </c:pt>
                <c:pt idx="169">
                  <c:v>9/30/2021</c:v>
                </c:pt>
                <c:pt idx="170">
                  <c:v>10/31/2021</c:v>
                </c:pt>
                <c:pt idx="171">
                  <c:v>11/30/2021</c:v>
                </c:pt>
                <c:pt idx="172">
                  <c:v>12/31/2021</c:v>
                </c:pt>
                <c:pt idx="173">
                  <c:v>1/31/2022</c:v>
                </c:pt>
                <c:pt idx="174">
                  <c:v>2/28/2022</c:v>
                </c:pt>
                <c:pt idx="175">
                  <c:v>3/31/2022</c:v>
                </c:pt>
                <c:pt idx="176">
                  <c:v>4/30/2022</c:v>
                </c:pt>
                <c:pt idx="177">
                  <c:v>5/31/2022</c:v>
                </c:pt>
                <c:pt idx="178">
                  <c:v>6/30/2022</c:v>
                </c:pt>
                <c:pt idx="179">
                  <c:v>7/31/2022</c:v>
                </c:pt>
                <c:pt idx="180">
                  <c:v>8/31/2022</c:v>
                </c:pt>
                <c:pt idx="181">
                  <c:v>9/30/2022</c:v>
                </c:pt>
                <c:pt idx="182">
                  <c:v>10/31/2022</c:v>
                </c:pt>
                <c:pt idx="183">
                  <c:v>11/30/2022</c:v>
                </c:pt>
                <c:pt idx="184">
                  <c:v>12/31/2022</c:v>
                </c:pt>
                <c:pt idx="185">
                  <c:v>1/31/2023</c:v>
                </c:pt>
                <c:pt idx="186">
                  <c:v>2/28/2023</c:v>
                </c:pt>
                <c:pt idx="187">
                  <c:v>3/31/2023</c:v>
                </c:pt>
                <c:pt idx="188">
                  <c:v>4/30/2023</c:v>
                </c:pt>
                <c:pt idx="189">
                  <c:v>5/31/2023</c:v>
                </c:pt>
                <c:pt idx="190">
                  <c:v>6/30/2023</c:v>
                </c:pt>
                <c:pt idx="191">
                  <c:v>7/31/2023</c:v>
                </c:pt>
                <c:pt idx="192">
                  <c:v>8/31/2023</c:v>
                </c:pt>
                <c:pt idx="193">
                  <c:v>9/30/2023</c:v>
                </c:pt>
                <c:pt idx="194">
                  <c:v>10/31/2023</c:v>
                </c:pt>
                <c:pt idx="195">
                  <c:v>11/30/2023</c:v>
                </c:pt>
                <c:pt idx="196">
                  <c:v>12/31/2023</c:v>
                </c:pt>
                <c:pt idx="197">
                  <c:v>1/31/2024</c:v>
                </c:pt>
                <c:pt idx="198">
                  <c:v>2/29/2024</c:v>
                </c:pt>
                <c:pt idx="199">
                  <c:v>3/31/2024</c:v>
                </c:pt>
                <c:pt idx="200">
                  <c:v>4/30/2024</c:v>
                </c:pt>
                <c:pt idx="201">
                  <c:v>5/31/2024</c:v>
                </c:pt>
                <c:pt idx="202">
                  <c:v>6/30/2024</c:v>
                </c:pt>
                <c:pt idx="203">
                  <c:v>7/31/2024</c:v>
                </c:pt>
                <c:pt idx="204">
                  <c:v>8/31/2024</c:v>
                </c:pt>
                <c:pt idx="205">
                  <c:v>9/30/2024</c:v>
                </c:pt>
                <c:pt idx="206">
                  <c:v>10/31/2024</c:v>
                </c:pt>
                <c:pt idx="207">
                  <c:v>11/30/2024</c:v>
                </c:pt>
                <c:pt idx="208">
                  <c:v>12/31/2024</c:v>
                </c:pt>
                <c:pt idx="209">
                  <c:v>1/31/2025</c:v>
                </c:pt>
                <c:pt idx="210">
                  <c:v>2/28/2025</c:v>
                </c:pt>
                <c:pt idx="211">
                  <c:v>3/31/2025</c:v>
                </c:pt>
                <c:pt idx="212">
                  <c:v>4/30/2025</c:v>
                </c:pt>
                <c:pt idx="213">
                  <c:v>5/31/2025</c:v>
                </c:pt>
                <c:pt idx="214">
                  <c:v>6/30/2025</c:v>
                </c:pt>
                <c:pt idx="215">
                  <c:v>7/31/2025</c:v>
                </c:pt>
                <c:pt idx="216">
                  <c:v>8/31/2025</c:v>
                </c:pt>
                <c:pt idx="217">
                  <c:v>9/30/2025</c:v>
                </c:pt>
                <c:pt idx="218">
                  <c:v>10/31/2025</c:v>
                </c:pt>
                <c:pt idx="219">
                  <c:v>11/30/2025</c:v>
                </c:pt>
                <c:pt idx="220">
                  <c:v>12/31/2025</c:v>
                </c:pt>
                <c:pt idx="221">
                  <c:v>1/31/2026</c:v>
                </c:pt>
                <c:pt idx="222">
                  <c:v>2/28/2026</c:v>
                </c:pt>
              </c:strCache>
            </c:strRef>
          </c:cat>
          <c:val>
            <c:numRef>
              <c:f>Oil_Monthly!$C$4:$C$227</c:f>
              <c:numCache>
                <c:formatCode>General</c:formatCode>
                <c:ptCount val="223"/>
                <c:pt idx="0">
                  <c:v>71.777999999999992</c:v>
                </c:pt>
                <c:pt idx="1">
                  <c:v>77.44</c:v>
                </c:pt>
                <c:pt idx="2">
                  <c:v>82.982500000000002</c:v>
                </c:pt>
                <c:pt idx="3">
                  <c:v>92.179999999999993</c:v>
                </c:pt>
                <c:pt idx="4">
                  <c:v>91.912499999999994</c:v>
                </c:pt>
                <c:pt idx="5">
                  <c:v>91.997500000000002</c:v>
                </c:pt>
                <c:pt idx="6">
                  <c:v>94.623999999999995</c:v>
                </c:pt>
                <c:pt idx="7">
                  <c:v>103.52</c:v>
                </c:pt>
                <c:pt idx="8">
                  <c:v>110.97749999999999</c:v>
                </c:pt>
                <c:pt idx="9">
                  <c:v>124.85999999999999</c:v>
                </c:pt>
                <c:pt idx="10">
                  <c:v>136.7775</c:v>
                </c:pt>
                <c:pt idx="11">
                  <c:v>136.32000000000002</c:v>
                </c:pt>
                <c:pt idx="12">
                  <c:v>115.60599999999999</c:v>
                </c:pt>
                <c:pt idx="13">
                  <c:v>101.20500000000001</c:v>
                </c:pt>
                <c:pt idx="14">
                  <c:v>72.262</c:v>
                </c:pt>
                <c:pt idx="15">
                  <c:v>53.567500000000003</c:v>
                </c:pt>
                <c:pt idx="16">
                  <c:v>42.13</c:v>
                </c:pt>
                <c:pt idx="17">
                  <c:v>46.43</c:v>
                </c:pt>
                <c:pt idx="18">
                  <c:v>44.815000000000005</c:v>
                </c:pt>
                <c:pt idx="19">
                  <c:v>48.244999999999997</c:v>
                </c:pt>
                <c:pt idx="20">
                  <c:v>53.137500000000003</c:v>
                </c:pt>
                <c:pt idx="21">
                  <c:v>58.653999999999996</c:v>
                </c:pt>
                <c:pt idx="22">
                  <c:v>69.342500000000001</c:v>
                </c:pt>
                <c:pt idx="23">
                  <c:v>66.914000000000001</c:v>
                </c:pt>
                <c:pt idx="24">
                  <c:v>73.245000000000005</c:v>
                </c:pt>
                <c:pt idx="25">
                  <c:v>67.734999999999999</c:v>
                </c:pt>
                <c:pt idx="26">
                  <c:v>73.835999999999999</c:v>
                </c:pt>
                <c:pt idx="27">
                  <c:v>76.45</c:v>
                </c:pt>
                <c:pt idx="28">
                  <c:v>74.649999999999991</c:v>
                </c:pt>
                <c:pt idx="29">
                  <c:v>76.16</c:v>
                </c:pt>
                <c:pt idx="30">
                  <c:v>74.567499999999995</c:v>
                </c:pt>
                <c:pt idx="31">
                  <c:v>79.612499999999997</c:v>
                </c:pt>
                <c:pt idx="32">
                  <c:v>85.903999999999996</c:v>
                </c:pt>
                <c:pt idx="33">
                  <c:v>76.02</c:v>
                </c:pt>
                <c:pt idx="34">
                  <c:v>75.694999999999993</c:v>
                </c:pt>
                <c:pt idx="35">
                  <c:v>75.614000000000004</c:v>
                </c:pt>
                <c:pt idx="36">
                  <c:v>76.544999999999987</c:v>
                </c:pt>
                <c:pt idx="37">
                  <c:v>77.977499999999992</c:v>
                </c:pt>
                <c:pt idx="38">
                  <c:v>83.268000000000001</c:v>
                </c:pt>
                <c:pt idx="39">
                  <c:v>86.092499999999987</c:v>
                </c:pt>
                <c:pt idx="40">
                  <c:v>92.513999999999996</c:v>
                </c:pt>
                <c:pt idx="41">
                  <c:v>97.102500000000006</c:v>
                </c:pt>
                <c:pt idx="42">
                  <c:v>103.88499999999999</c:v>
                </c:pt>
                <c:pt idx="43">
                  <c:v>114.83250000000001</c:v>
                </c:pt>
                <c:pt idx="44">
                  <c:v>123.73600000000002</c:v>
                </c:pt>
                <c:pt idx="45">
                  <c:v>112.595</c:v>
                </c:pt>
                <c:pt idx="46">
                  <c:v>113.2375</c:v>
                </c:pt>
                <c:pt idx="47">
                  <c:v>116.554</c:v>
                </c:pt>
                <c:pt idx="48">
                  <c:v>109.345</c:v>
                </c:pt>
                <c:pt idx="49">
                  <c:v>108.80999999999999</c:v>
                </c:pt>
                <c:pt idx="50">
                  <c:v>110.00749999999999</c:v>
                </c:pt>
                <c:pt idx="51">
                  <c:v>110.02250000000001</c:v>
                </c:pt>
                <c:pt idx="52">
                  <c:v>107.45</c:v>
                </c:pt>
                <c:pt idx="53">
                  <c:v>111.205</c:v>
                </c:pt>
                <c:pt idx="54">
                  <c:v>119.23499999999999</c:v>
                </c:pt>
                <c:pt idx="55">
                  <c:v>124.69000000000001</c:v>
                </c:pt>
                <c:pt idx="56">
                  <c:v>120.96249999999999</c:v>
                </c:pt>
                <c:pt idx="57">
                  <c:v>109.85249999999999</c:v>
                </c:pt>
                <c:pt idx="58">
                  <c:v>96.858000000000004</c:v>
                </c:pt>
                <c:pt idx="59">
                  <c:v>103.4725</c:v>
                </c:pt>
                <c:pt idx="60">
                  <c:v>112.752</c:v>
                </c:pt>
                <c:pt idx="61">
                  <c:v>113.67999999999999</c:v>
                </c:pt>
                <c:pt idx="62">
                  <c:v>111.5825</c:v>
                </c:pt>
                <c:pt idx="63">
                  <c:v>109.328</c:v>
                </c:pt>
                <c:pt idx="64">
                  <c:v>108.94</c:v>
                </c:pt>
                <c:pt idx="65">
                  <c:v>111.78</c:v>
                </c:pt>
                <c:pt idx="66">
                  <c:v>116.85500000000002</c:v>
                </c:pt>
                <c:pt idx="67">
                  <c:v>109.75</c:v>
                </c:pt>
                <c:pt idx="68">
                  <c:v>102.50999999999999</c:v>
                </c:pt>
                <c:pt idx="69">
                  <c:v>103.154</c:v>
                </c:pt>
                <c:pt idx="70">
                  <c:v>103.38999999999999</c:v>
                </c:pt>
                <c:pt idx="71">
                  <c:v>107.94250000000001</c:v>
                </c:pt>
                <c:pt idx="72">
                  <c:v>110.52400000000003</c:v>
                </c:pt>
                <c:pt idx="73">
                  <c:v>111.6875</c:v>
                </c:pt>
                <c:pt idx="74">
                  <c:v>109.4025</c:v>
                </c:pt>
                <c:pt idx="75">
                  <c:v>108.054</c:v>
                </c:pt>
                <c:pt idx="76">
                  <c:v>111.0975</c:v>
                </c:pt>
                <c:pt idx="77">
                  <c:v>106.97999999999999</c:v>
                </c:pt>
                <c:pt idx="78">
                  <c:v>109.3925</c:v>
                </c:pt>
                <c:pt idx="79">
                  <c:v>108.14</c:v>
                </c:pt>
                <c:pt idx="80">
                  <c:v>108.29</c:v>
                </c:pt>
                <c:pt idx="81">
                  <c:v>109.23600000000002</c:v>
                </c:pt>
                <c:pt idx="82">
                  <c:v>112.5325</c:v>
                </c:pt>
                <c:pt idx="83">
                  <c:v>108.32249999999999</c:v>
                </c:pt>
                <c:pt idx="84">
                  <c:v>103.774</c:v>
                </c:pt>
                <c:pt idx="85">
                  <c:v>98.33</c:v>
                </c:pt>
                <c:pt idx="86">
                  <c:v>88.133999999999986</c:v>
                </c:pt>
                <c:pt idx="87">
                  <c:v>78.327500000000015</c:v>
                </c:pt>
                <c:pt idx="88">
                  <c:v>62.9375</c:v>
                </c:pt>
                <c:pt idx="89">
                  <c:v>51.695999999999991</c:v>
                </c:pt>
                <c:pt idx="90">
                  <c:v>60.53</c:v>
                </c:pt>
                <c:pt idx="91">
                  <c:v>56.532499999999999</c:v>
                </c:pt>
                <c:pt idx="92">
                  <c:v>60.387499999999996</c:v>
                </c:pt>
                <c:pt idx="93">
                  <c:v>65.917999999999992</c:v>
                </c:pt>
                <c:pt idx="94">
                  <c:v>63.365000000000002</c:v>
                </c:pt>
                <c:pt idx="95">
                  <c:v>56.946000000000005</c:v>
                </c:pt>
                <c:pt idx="96">
                  <c:v>48.287499999999994</c:v>
                </c:pt>
                <c:pt idx="97">
                  <c:v>48.454999999999998</c:v>
                </c:pt>
                <c:pt idx="98">
                  <c:v>49.758000000000003</c:v>
                </c:pt>
                <c:pt idx="99">
                  <c:v>45.137500000000003</c:v>
                </c:pt>
                <c:pt idx="100">
                  <c:v>38.924999999999997</c:v>
                </c:pt>
                <c:pt idx="101">
                  <c:v>33.338000000000001</c:v>
                </c:pt>
                <c:pt idx="102">
                  <c:v>33.8825</c:v>
                </c:pt>
                <c:pt idx="103">
                  <c:v>40.1875</c:v>
                </c:pt>
                <c:pt idx="104">
                  <c:v>43.39</c:v>
                </c:pt>
                <c:pt idx="105">
                  <c:v>47.809999999999995</c:v>
                </c:pt>
                <c:pt idx="106">
                  <c:v>49.440000000000005</c:v>
                </c:pt>
                <c:pt idx="107">
                  <c:v>46.573999999999998</c:v>
                </c:pt>
                <c:pt idx="108">
                  <c:v>48.010000000000005</c:v>
                </c:pt>
                <c:pt idx="109">
                  <c:v>47.112000000000002</c:v>
                </c:pt>
                <c:pt idx="110">
                  <c:v>51.342500000000001</c:v>
                </c:pt>
                <c:pt idx="111">
                  <c:v>46.107500000000002</c:v>
                </c:pt>
                <c:pt idx="112">
                  <c:v>55.196000000000005</c:v>
                </c:pt>
                <c:pt idx="113">
                  <c:v>55.890000000000008</c:v>
                </c:pt>
                <c:pt idx="114">
                  <c:v>56.327500000000001</c:v>
                </c:pt>
                <c:pt idx="115">
                  <c:v>52.531999999999996</c:v>
                </c:pt>
                <c:pt idx="116">
                  <c:v>53.704999999999998</c:v>
                </c:pt>
                <c:pt idx="117">
                  <c:v>51.425000000000004</c:v>
                </c:pt>
                <c:pt idx="118">
                  <c:v>47.786000000000001</c:v>
                </c:pt>
                <c:pt idx="119">
                  <c:v>49.050000000000004</c:v>
                </c:pt>
                <c:pt idx="120">
                  <c:v>52.412500000000001</c:v>
                </c:pt>
                <c:pt idx="121">
                  <c:v>55.283999999999992</c:v>
                </c:pt>
                <c:pt idx="122">
                  <c:v>57.744999999999997</c:v>
                </c:pt>
                <c:pt idx="123">
                  <c:v>63.042500000000004</c:v>
                </c:pt>
                <c:pt idx="124">
                  <c:v>64.496000000000009</c:v>
                </c:pt>
                <c:pt idx="125">
                  <c:v>69.155000000000001</c:v>
                </c:pt>
                <c:pt idx="126">
                  <c:v>65.88</c:v>
                </c:pt>
                <c:pt idx="127">
                  <c:v>67.35799999999999</c:v>
                </c:pt>
                <c:pt idx="128">
                  <c:v>72.097499999999997</c:v>
                </c:pt>
                <c:pt idx="129">
                  <c:v>76.734999999999999</c:v>
                </c:pt>
                <c:pt idx="130">
                  <c:v>76.335999999999999</c:v>
                </c:pt>
                <c:pt idx="131">
                  <c:v>74.95</c:v>
                </c:pt>
                <c:pt idx="132">
                  <c:v>74.217999999999989</c:v>
                </c:pt>
                <c:pt idx="133">
                  <c:v>79.110000000000014</c:v>
                </c:pt>
                <c:pt idx="134">
                  <c:v>80.497500000000002</c:v>
                </c:pt>
                <c:pt idx="135">
                  <c:v>65.455999999999989</c:v>
                </c:pt>
                <c:pt idx="136">
                  <c:v>56.992500000000007</c:v>
                </c:pt>
                <c:pt idx="137">
                  <c:v>60.47</c:v>
                </c:pt>
                <c:pt idx="138">
                  <c:v>64.555000000000007</c:v>
                </c:pt>
                <c:pt idx="139">
                  <c:v>66.677999999999997</c:v>
                </c:pt>
                <c:pt idx="140">
                  <c:v>71.502499999999998</c:v>
                </c:pt>
                <c:pt idx="141">
                  <c:v>69.372</c:v>
                </c:pt>
                <c:pt idx="142">
                  <c:v>64.262500000000003</c:v>
                </c:pt>
                <c:pt idx="143">
                  <c:v>64.22</c:v>
                </c:pt>
                <c:pt idx="144">
                  <c:v>59.765999999999998</c:v>
                </c:pt>
                <c:pt idx="145">
                  <c:v>61.987499999999997</c:v>
                </c:pt>
                <c:pt idx="146">
                  <c:v>60.080000000000005</c:v>
                </c:pt>
                <c:pt idx="147">
                  <c:v>62.672000000000004</c:v>
                </c:pt>
                <c:pt idx="148">
                  <c:v>65.977499999999992</c:v>
                </c:pt>
                <c:pt idx="149">
                  <c:v>63.455999999999996</c:v>
                </c:pt>
                <c:pt idx="150">
                  <c:v>55.202500000000001</c:v>
                </c:pt>
                <c:pt idx="151">
                  <c:v>32.7575</c:v>
                </c:pt>
                <c:pt idx="152">
                  <c:v>28.7775</c:v>
                </c:pt>
                <c:pt idx="153">
                  <c:v>32.073999999999998</c:v>
                </c:pt>
                <c:pt idx="154">
                  <c:v>41.06</c:v>
                </c:pt>
                <c:pt idx="155">
                  <c:v>43.231999999999992</c:v>
                </c:pt>
                <c:pt idx="156">
                  <c:v>44.649999999999991</c:v>
                </c:pt>
                <c:pt idx="157">
                  <c:v>41.89</c:v>
                </c:pt>
                <c:pt idx="158">
                  <c:v>40.856000000000009</c:v>
                </c:pt>
                <c:pt idx="159">
                  <c:v>43.842500000000001</c:v>
                </c:pt>
                <c:pt idx="160">
                  <c:v>50.692499999999995</c:v>
                </c:pt>
                <c:pt idx="161">
                  <c:v>54.835999999999999</c:v>
                </c:pt>
                <c:pt idx="162">
                  <c:v>62.702500000000001</c:v>
                </c:pt>
                <c:pt idx="163">
                  <c:v>66.919999999999987</c:v>
                </c:pt>
                <c:pt idx="164">
                  <c:v>65.587999999999994</c:v>
                </c:pt>
                <c:pt idx="165">
                  <c:v>68.265000000000001</c:v>
                </c:pt>
                <c:pt idx="166">
                  <c:v>73.567499999999995</c:v>
                </c:pt>
                <c:pt idx="167">
                  <c:v>75.147999999999996</c:v>
                </c:pt>
                <c:pt idx="168">
                  <c:v>69.792500000000004</c:v>
                </c:pt>
                <c:pt idx="169">
                  <c:v>74.740000000000009</c:v>
                </c:pt>
                <c:pt idx="170">
                  <c:v>83.288000000000011</c:v>
                </c:pt>
                <c:pt idx="171">
                  <c:v>79.13</c:v>
                </c:pt>
                <c:pt idx="172">
                  <c:v>74.635999999999996</c:v>
                </c:pt>
                <c:pt idx="173">
                  <c:v>86.432500000000005</c:v>
                </c:pt>
                <c:pt idx="174">
                  <c:v>94.795000000000002</c:v>
                </c:pt>
                <c:pt idx="175">
                  <c:v>114.84</c:v>
                </c:pt>
                <c:pt idx="176">
                  <c:v>106.97200000000001</c:v>
                </c:pt>
                <c:pt idx="177">
                  <c:v>113.98</c:v>
                </c:pt>
                <c:pt idx="178">
                  <c:v>116.99250000000001</c:v>
                </c:pt>
                <c:pt idx="179">
                  <c:v>106.604</c:v>
                </c:pt>
                <c:pt idx="180">
                  <c:v>97.694999999999993</c:v>
                </c:pt>
                <c:pt idx="181">
                  <c:v>90.263999999999996</c:v>
                </c:pt>
                <c:pt idx="182">
                  <c:v>94.704999999999998</c:v>
                </c:pt>
                <c:pt idx="183">
                  <c:v>91.452500000000001</c:v>
                </c:pt>
                <c:pt idx="184">
                  <c:v>82.10799999999999</c:v>
                </c:pt>
                <c:pt idx="185">
                  <c:v>84.534999999999997</c:v>
                </c:pt>
                <c:pt idx="186">
                  <c:v>83.122500000000002</c:v>
                </c:pt>
                <c:pt idx="187">
                  <c:v>79.268000000000001</c:v>
                </c:pt>
                <c:pt idx="188">
                  <c:v>83.157499999999999</c:v>
                </c:pt>
                <c:pt idx="189">
                  <c:v>75.5</c:v>
                </c:pt>
                <c:pt idx="190">
                  <c:v>75.256</c:v>
                </c:pt>
                <c:pt idx="191">
                  <c:v>81.099999999999994</c:v>
                </c:pt>
                <c:pt idx="192">
                  <c:v>85.58250000000001</c:v>
                </c:pt>
                <c:pt idx="193">
                  <c:v>92.341999999999999</c:v>
                </c:pt>
                <c:pt idx="194">
                  <c:v>89.527500000000003</c:v>
                </c:pt>
                <c:pt idx="195">
                  <c:v>81.877499999999998</c:v>
                </c:pt>
                <c:pt idx="196">
                  <c:v>77.475999999999999</c:v>
                </c:pt>
                <c:pt idx="197">
                  <c:v>79.790000000000006</c:v>
                </c:pt>
                <c:pt idx="198">
                  <c:v>81.152500000000003</c:v>
                </c:pt>
                <c:pt idx="199">
                  <c:v>84.775999999999996</c:v>
                </c:pt>
                <c:pt idx="200">
                  <c:v>89.602500000000006</c:v>
                </c:pt>
                <c:pt idx="201">
                  <c:v>82.694000000000003</c:v>
                </c:pt>
                <c:pt idx="202">
                  <c:v>83.472499999999997</c:v>
                </c:pt>
                <c:pt idx="203">
                  <c:v>83.832499999999996</c:v>
                </c:pt>
                <c:pt idx="204">
                  <c:v>78.794000000000011</c:v>
                </c:pt>
                <c:pt idx="205">
                  <c:v>72.285000000000011</c:v>
                </c:pt>
                <c:pt idx="206">
                  <c:v>76.55</c:v>
                </c:pt>
                <c:pt idx="207">
                  <c:v>73.224000000000004</c:v>
                </c:pt>
                <c:pt idx="208">
                  <c:v>73.180000000000007</c:v>
                </c:pt>
                <c:pt idx="209">
                  <c:v>78.463999999999999</c:v>
                </c:pt>
                <c:pt idx="210">
                  <c:v>74.252499999999998</c:v>
                </c:pt>
                <c:pt idx="211">
                  <c:v>71.682500000000005</c:v>
                </c:pt>
                <c:pt idx="212">
                  <c:v>66.292500000000004</c:v>
                </c:pt>
                <c:pt idx="213">
                  <c:v>63.85799999999999</c:v>
                </c:pt>
                <c:pt idx="214">
                  <c:v>71.36999999999999</c:v>
                </c:pt>
                <c:pt idx="215">
                  <c:v>69.22</c:v>
                </c:pt>
                <c:pt idx="216">
                  <c:v>67.591999999999999</c:v>
                </c:pt>
                <c:pt idx="217">
                  <c:v>67.325000000000003</c:v>
                </c:pt>
                <c:pt idx="218">
                  <c:v>63.911999999999992</c:v>
                </c:pt>
                <c:pt idx="219">
                  <c:v>63.445000000000007</c:v>
                </c:pt>
                <c:pt idx="220">
                  <c:v>61.495000000000005</c:v>
                </c:pt>
                <c:pt idx="221">
                  <c:v>64.957999999999998</c:v>
                </c:pt>
                <c:pt idx="222">
                  <c:v>68.116666666666674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4A-4B7F-8A1D-9BC5F63C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881648"/>
        <c:axId val="1552882128"/>
      </c:lineChart>
      <c:catAx>
        <c:axId val="155288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82128"/>
        <c:crosses val="autoZero"/>
        <c:auto val="1"/>
        <c:lblAlgn val="ctr"/>
        <c:lblOffset val="100"/>
        <c:noMultiLvlLbl val="0"/>
      </c:catAx>
      <c:valAx>
        <c:axId val="15528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5344908809476"/>
          <c:y val="0.37230109638920955"/>
          <c:w val="0.3486151303736606"/>
          <c:h val="0.25539752005835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sheet'!$B$2:$B$116</c:f>
              <c:numCache>
                <c:formatCode>General</c:formatCode>
                <c:ptCount val="115"/>
                <c:pt idx="0">
                  <c:v>536.40750000000003</c:v>
                </c:pt>
                <c:pt idx="1">
                  <c:v>534.63200000000006</c:v>
                </c:pt>
                <c:pt idx="2">
                  <c:v>556.38499999999999</c:v>
                </c:pt>
                <c:pt idx="3">
                  <c:v>584.66249999999991</c:v>
                </c:pt>
                <c:pt idx="4">
                  <c:v>497.12399999999997</c:v>
                </c:pt>
                <c:pt idx="5">
                  <c:v>426.30250000000001</c:v>
                </c:pt>
                <c:pt idx="6">
                  <c:v>451.64750000000004</c:v>
                </c:pt>
                <c:pt idx="7">
                  <c:v>485.96749999999997</c:v>
                </c:pt>
                <c:pt idx="8">
                  <c:v>496.51800000000003</c:v>
                </c:pt>
                <c:pt idx="9">
                  <c:v>515.23</c:v>
                </c:pt>
                <c:pt idx="10">
                  <c:v>507.904</c:v>
                </c:pt>
                <c:pt idx="11">
                  <c:v>480.36500000000001</c:v>
                </c:pt>
                <c:pt idx="12">
                  <c:v>489.84250000000003</c:v>
                </c:pt>
                <c:pt idx="13">
                  <c:v>455.56400000000002</c:v>
                </c:pt>
                <c:pt idx="14">
                  <c:v>466.37749999999994</c:v>
                </c:pt>
                <c:pt idx="15">
                  <c:v>468.10499999999996</c:v>
                </c:pt>
                <c:pt idx="16">
                  <c:v>475.19800000000004</c:v>
                </c:pt>
                <c:pt idx="17">
                  <c:v>514.59249999999997</c:v>
                </c:pt>
                <c:pt idx="18">
                  <c:v>506.18399999999991</c:v>
                </c:pt>
                <c:pt idx="19">
                  <c:v>421.16750000000002</c:v>
                </c:pt>
                <c:pt idx="20">
                  <c:v>258.60000000000002</c:v>
                </c:pt>
                <c:pt idx="21">
                  <c:v>219.68499999999997</c:v>
                </c:pt>
                <c:pt idx="22">
                  <c:v>224.75200000000001</c:v>
                </c:pt>
                <c:pt idx="23">
                  <c:v>278.065</c:v>
                </c:pt>
                <c:pt idx="24">
                  <c:v>303.18400000000003</c:v>
                </c:pt>
                <c:pt idx="25">
                  <c:v>307.63499999999999</c:v>
                </c:pt>
                <c:pt idx="26">
                  <c:v>287.58500000000004</c:v>
                </c:pt>
                <c:pt idx="27">
                  <c:v>292.66399999999999</c:v>
                </c:pt>
                <c:pt idx="28">
                  <c:v>318.21749999999997</c:v>
                </c:pt>
                <c:pt idx="29">
                  <c:v>363.89249999999998</c:v>
                </c:pt>
                <c:pt idx="30">
                  <c:v>395.30399999999997</c:v>
                </c:pt>
                <c:pt idx="31">
                  <c:v>456.15750000000003</c:v>
                </c:pt>
                <c:pt idx="32">
                  <c:v>473.22749999999996</c:v>
                </c:pt>
                <c:pt idx="33">
                  <c:v>458.65800000000002</c:v>
                </c:pt>
                <c:pt idx="34">
                  <c:v>469.65250000000003</c:v>
                </c:pt>
                <c:pt idx="35">
                  <c:v>504.29750000000001</c:v>
                </c:pt>
                <c:pt idx="36">
                  <c:v>516.52600000000007</c:v>
                </c:pt>
                <c:pt idx="37">
                  <c:v>480.90999999999997</c:v>
                </c:pt>
                <c:pt idx="38">
                  <c:v>511.43499999999995</c:v>
                </c:pt>
                <c:pt idx="39">
                  <c:v>565.36799999999994</c:v>
                </c:pt>
                <c:pt idx="40">
                  <c:v>540.59249999999997</c:v>
                </c:pt>
                <c:pt idx="41">
                  <c:v>519.98800000000006</c:v>
                </c:pt>
                <c:pt idx="42">
                  <c:v>596.9375</c:v>
                </c:pt>
                <c:pt idx="43">
                  <c:v>658.24250000000006</c:v>
                </c:pt>
                <c:pt idx="44">
                  <c:v>791.4325</c:v>
                </c:pt>
                <c:pt idx="45">
                  <c:v>740.78800000000001</c:v>
                </c:pt>
                <c:pt idx="46">
                  <c:v>779.58</c:v>
                </c:pt>
                <c:pt idx="47">
                  <c:v>829.05000000000007</c:v>
                </c:pt>
                <c:pt idx="48">
                  <c:v>720.85799999999995</c:v>
                </c:pt>
                <c:pt idx="49">
                  <c:v>653.76750000000004</c:v>
                </c:pt>
                <c:pt idx="50">
                  <c:v>596.35599999999999</c:v>
                </c:pt>
                <c:pt idx="51">
                  <c:v>611.70749999999998</c:v>
                </c:pt>
                <c:pt idx="52">
                  <c:v>563.98</c:v>
                </c:pt>
                <c:pt idx="53">
                  <c:v>502.95</c:v>
                </c:pt>
                <c:pt idx="54">
                  <c:v>538.4</c:v>
                </c:pt>
                <c:pt idx="55">
                  <c:v>534.17750000000001</c:v>
                </c:pt>
                <c:pt idx="56">
                  <c:v>513.548</c:v>
                </c:pt>
                <c:pt idx="57">
                  <c:v>533.38000000000011</c:v>
                </c:pt>
                <c:pt idx="58">
                  <c:v>488.13750000000005</c:v>
                </c:pt>
                <c:pt idx="59">
                  <c:v>502.49399999999997</c:v>
                </c:pt>
                <c:pt idx="60">
                  <c:v>529.44749999999999</c:v>
                </c:pt>
                <c:pt idx="61">
                  <c:v>571.76250000000005</c:v>
                </c:pt>
                <c:pt idx="62">
                  <c:v>590.72799999999995</c:v>
                </c:pt>
                <c:pt idx="63">
                  <c:v>571.15750000000003</c:v>
                </c:pt>
                <c:pt idx="64">
                  <c:v>540.5474999999999</c:v>
                </c:pt>
                <c:pt idx="65">
                  <c:v>520.84799999999996</c:v>
                </c:pt>
                <c:pt idx="66">
                  <c:v>534.32249999999999</c:v>
                </c:pt>
                <c:pt idx="67">
                  <c:v>548.745</c:v>
                </c:pt>
                <c:pt idx="68">
                  <c:v>573.97</c:v>
                </c:pt>
                <c:pt idx="69">
                  <c:v>592.48</c:v>
                </c:pt>
                <c:pt idx="70">
                  <c:v>542.73400000000004</c:v>
                </c:pt>
                <c:pt idx="71">
                  <c:v>542.56000000000006</c:v>
                </c:pt>
                <c:pt idx="72">
                  <c:v>547.67250000000001</c:v>
                </c:pt>
                <c:pt idx="73">
                  <c:v>521.60600000000011</c:v>
                </c:pt>
                <c:pt idx="74">
                  <c:v>486.39249999999993</c:v>
                </c:pt>
                <c:pt idx="75">
                  <c:v>513.46749999999997</c:v>
                </c:pt>
                <c:pt idx="76">
                  <c:v>490.34199999999998</c:v>
                </c:pt>
                <c:pt idx="77">
                  <c:v>505.13249999999999</c:v>
                </c:pt>
                <c:pt idx="78">
                  <c:v>524.976</c:v>
                </c:pt>
                <c:pt idx="79">
                  <c:v>502.67249999999996</c:v>
                </c:pt>
                <c:pt idx="80">
                  <c:v>468.57749999999999</c:v>
                </c:pt>
                <c:pt idx="81">
                  <c:v>437.19749999999999</c:v>
                </c:pt>
                <c:pt idx="82">
                  <c:v>438.07</c:v>
                </c:pt>
                <c:pt idx="83">
                  <c:v>481.86999999999995</c:v>
                </c:pt>
                <c:pt idx="84">
                  <c:v>468.49749999999995</c:v>
                </c:pt>
                <c:pt idx="85">
                  <c:v>457.09000000000003</c:v>
                </c:pt>
                <c:pt idx="86">
                  <c:v>435.1</c:v>
                </c:pt>
                <c:pt idx="87">
                  <c:v>411.58199999999999</c:v>
                </c:pt>
                <c:pt idx="88">
                  <c:v>402.58500000000004</c:v>
                </c:pt>
                <c:pt idx="89">
                  <c:v>380.79749999999996</c:v>
                </c:pt>
                <c:pt idx="90">
                  <c:v>392.19200000000001</c:v>
                </c:pt>
                <c:pt idx="91">
                  <c:v>416.45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6-46BB-8C5D-248153DA63C5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sheet'!$A$2:$A$116</c:f>
              <c:numCache>
                <c:formatCode>m/d/yyyy</c:formatCode>
                <c:ptCount val="115"/>
                <c:pt idx="0">
                  <c:v>43312</c:v>
                </c:pt>
                <c:pt idx="1">
                  <c:v>43343</c:v>
                </c:pt>
                <c:pt idx="2">
                  <c:v>43373</c:v>
                </c:pt>
                <c:pt idx="3">
                  <c:v>43404</c:v>
                </c:pt>
                <c:pt idx="4">
                  <c:v>43434</c:v>
                </c:pt>
                <c:pt idx="5">
                  <c:v>43465</c:v>
                </c:pt>
                <c:pt idx="6">
                  <c:v>43496</c:v>
                </c:pt>
                <c:pt idx="7">
                  <c:v>43524</c:v>
                </c:pt>
                <c:pt idx="8">
                  <c:v>43555</c:v>
                </c:pt>
                <c:pt idx="9">
                  <c:v>43585</c:v>
                </c:pt>
                <c:pt idx="10">
                  <c:v>43616</c:v>
                </c:pt>
                <c:pt idx="11">
                  <c:v>43646</c:v>
                </c:pt>
                <c:pt idx="12">
                  <c:v>43677</c:v>
                </c:pt>
                <c:pt idx="13">
                  <c:v>43708</c:v>
                </c:pt>
                <c:pt idx="14">
                  <c:v>43738</c:v>
                </c:pt>
                <c:pt idx="15">
                  <c:v>43769</c:v>
                </c:pt>
                <c:pt idx="16">
                  <c:v>43799</c:v>
                </c:pt>
                <c:pt idx="17">
                  <c:v>43830</c:v>
                </c:pt>
                <c:pt idx="18">
                  <c:v>43861</c:v>
                </c:pt>
                <c:pt idx="19">
                  <c:v>43890</c:v>
                </c:pt>
                <c:pt idx="20">
                  <c:v>43921</c:v>
                </c:pt>
                <c:pt idx="21">
                  <c:v>43951</c:v>
                </c:pt>
                <c:pt idx="22">
                  <c:v>43982</c:v>
                </c:pt>
                <c:pt idx="23">
                  <c:v>44012</c:v>
                </c:pt>
                <c:pt idx="24">
                  <c:v>44043</c:v>
                </c:pt>
                <c:pt idx="25">
                  <c:v>44074</c:v>
                </c:pt>
                <c:pt idx="26">
                  <c:v>44104</c:v>
                </c:pt>
                <c:pt idx="27">
                  <c:v>44135</c:v>
                </c:pt>
                <c:pt idx="28">
                  <c:v>44165</c:v>
                </c:pt>
                <c:pt idx="29">
                  <c:v>44196</c:v>
                </c:pt>
                <c:pt idx="30">
                  <c:v>44227</c:v>
                </c:pt>
                <c:pt idx="31">
                  <c:v>44255</c:v>
                </c:pt>
                <c:pt idx="32">
                  <c:v>44286</c:v>
                </c:pt>
                <c:pt idx="33">
                  <c:v>44316</c:v>
                </c:pt>
                <c:pt idx="34">
                  <c:v>44347</c:v>
                </c:pt>
                <c:pt idx="35">
                  <c:v>44377</c:v>
                </c:pt>
                <c:pt idx="36">
                  <c:v>44408</c:v>
                </c:pt>
                <c:pt idx="37">
                  <c:v>44439</c:v>
                </c:pt>
                <c:pt idx="38">
                  <c:v>44469</c:v>
                </c:pt>
                <c:pt idx="39">
                  <c:v>44500</c:v>
                </c:pt>
                <c:pt idx="40">
                  <c:v>44530</c:v>
                </c:pt>
                <c:pt idx="41">
                  <c:v>44561</c:v>
                </c:pt>
                <c:pt idx="42">
                  <c:v>44592</c:v>
                </c:pt>
                <c:pt idx="43">
                  <c:v>44620</c:v>
                </c:pt>
                <c:pt idx="44">
                  <c:v>44651</c:v>
                </c:pt>
                <c:pt idx="45">
                  <c:v>44681</c:v>
                </c:pt>
                <c:pt idx="46">
                  <c:v>44712</c:v>
                </c:pt>
                <c:pt idx="47">
                  <c:v>44742</c:v>
                </c:pt>
                <c:pt idx="48">
                  <c:v>44773</c:v>
                </c:pt>
                <c:pt idx="49">
                  <c:v>44804</c:v>
                </c:pt>
                <c:pt idx="50">
                  <c:v>44834</c:v>
                </c:pt>
                <c:pt idx="51">
                  <c:v>44865</c:v>
                </c:pt>
                <c:pt idx="52">
                  <c:v>44895</c:v>
                </c:pt>
                <c:pt idx="53">
                  <c:v>44926</c:v>
                </c:pt>
                <c:pt idx="54">
                  <c:v>44957</c:v>
                </c:pt>
                <c:pt idx="55">
                  <c:v>44985</c:v>
                </c:pt>
                <c:pt idx="56">
                  <c:v>45016</c:v>
                </c:pt>
                <c:pt idx="57">
                  <c:v>45046</c:v>
                </c:pt>
                <c:pt idx="58">
                  <c:v>45077</c:v>
                </c:pt>
                <c:pt idx="59">
                  <c:v>45107</c:v>
                </c:pt>
                <c:pt idx="60">
                  <c:v>45138</c:v>
                </c:pt>
                <c:pt idx="61">
                  <c:v>45169</c:v>
                </c:pt>
                <c:pt idx="62">
                  <c:v>45199</c:v>
                </c:pt>
                <c:pt idx="63">
                  <c:v>45230</c:v>
                </c:pt>
                <c:pt idx="64">
                  <c:v>45260</c:v>
                </c:pt>
                <c:pt idx="65">
                  <c:v>45291</c:v>
                </c:pt>
                <c:pt idx="66">
                  <c:v>45322</c:v>
                </c:pt>
                <c:pt idx="67">
                  <c:v>45351</c:v>
                </c:pt>
                <c:pt idx="68">
                  <c:v>45382</c:v>
                </c:pt>
                <c:pt idx="69">
                  <c:v>45412</c:v>
                </c:pt>
                <c:pt idx="70">
                  <c:v>45443</c:v>
                </c:pt>
                <c:pt idx="71">
                  <c:v>45473</c:v>
                </c:pt>
                <c:pt idx="72">
                  <c:v>45504</c:v>
                </c:pt>
                <c:pt idx="73">
                  <c:v>45535</c:v>
                </c:pt>
                <c:pt idx="74">
                  <c:v>45565</c:v>
                </c:pt>
                <c:pt idx="75">
                  <c:v>45596</c:v>
                </c:pt>
                <c:pt idx="76">
                  <c:v>45626</c:v>
                </c:pt>
                <c:pt idx="77">
                  <c:v>45657</c:v>
                </c:pt>
                <c:pt idx="78">
                  <c:v>45688</c:v>
                </c:pt>
                <c:pt idx="79">
                  <c:v>45716</c:v>
                </c:pt>
                <c:pt idx="80">
                  <c:v>45747</c:v>
                </c:pt>
                <c:pt idx="81">
                  <c:v>45777</c:v>
                </c:pt>
                <c:pt idx="82">
                  <c:v>45808</c:v>
                </c:pt>
                <c:pt idx="83">
                  <c:v>45838</c:v>
                </c:pt>
                <c:pt idx="84">
                  <c:v>45869</c:v>
                </c:pt>
                <c:pt idx="85">
                  <c:v>45900</c:v>
                </c:pt>
                <c:pt idx="86">
                  <c:v>45930</c:v>
                </c:pt>
                <c:pt idx="87">
                  <c:v>45961</c:v>
                </c:pt>
                <c:pt idx="88">
                  <c:v>45991</c:v>
                </c:pt>
                <c:pt idx="89">
                  <c:v>46022</c:v>
                </c:pt>
                <c:pt idx="90">
                  <c:v>46053</c:v>
                </c:pt>
                <c:pt idx="91">
                  <c:v>46081</c:v>
                </c:pt>
                <c:pt idx="92">
                  <c:v>46109</c:v>
                </c:pt>
                <c:pt idx="93">
                  <c:v>46140</c:v>
                </c:pt>
                <c:pt idx="94">
                  <c:v>46170</c:v>
                </c:pt>
                <c:pt idx="95">
                  <c:v>46201</c:v>
                </c:pt>
                <c:pt idx="96">
                  <c:v>46231</c:v>
                </c:pt>
                <c:pt idx="97">
                  <c:v>46262</c:v>
                </c:pt>
                <c:pt idx="98">
                  <c:v>46293</c:v>
                </c:pt>
                <c:pt idx="99">
                  <c:v>46323</c:v>
                </c:pt>
                <c:pt idx="100">
                  <c:v>46354</c:v>
                </c:pt>
                <c:pt idx="101">
                  <c:v>46384</c:v>
                </c:pt>
                <c:pt idx="102">
                  <c:v>46415</c:v>
                </c:pt>
                <c:pt idx="103">
                  <c:v>46446</c:v>
                </c:pt>
                <c:pt idx="104">
                  <c:v>46474</c:v>
                </c:pt>
                <c:pt idx="105">
                  <c:v>46505</c:v>
                </c:pt>
                <c:pt idx="106">
                  <c:v>46535</c:v>
                </c:pt>
                <c:pt idx="107">
                  <c:v>46566</c:v>
                </c:pt>
                <c:pt idx="108">
                  <c:v>46596</c:v>
                </c:pt>
                <c:pt idx="109">
                  <c:v>46627</c:v>
                </c:pt>
                <c:pt idx="110">
                  <c:v>46658</c:v>
                </c:pt>
                <c:pt idx="111">
                  <c:v>46688</c:v>
                </c:pt>
                <c:pt idx="112">
                  <c:v>46719</c:v>
                </c:pt>
                <c:pt idx="113">
                  <c:v>46749</c:v>
                </c:pt>
                <c:pt idx="114">
                  <c:v>46780</c:v>
                </c:pt>
              </c:numCache>
            </c:numRef>
          </c:cat>
          <c:val>
            <c:numRef>
              <c:f>'Forecast sheet'!$C$2:$C$116</c:f>
              <c:numCache>
                <c:formatCode>General</c:formatCode>
                <c:ptCount val="115"/>
                <c:pt idx="91">
                  <c:v>416.45</c:v>
                </c:pt>
                <c:pt idx="92">
                  <c:v>417.01110863785584</c:v>
                </c:pt>
                <c:pt idx="93">
                  <c:v>417.57221727571164</c:v>
                </c:pt>
                <c:pt idx="94">
                  <c:v>418.13332591356749</c:v>
                </c:pt>
                <c:pt idx="95">
                  <c:v>418.69443455142334</c:v>
                </c:pt>
                <c:pt idx="96">
                  <c:v>419.25554318927914</c:v>
                </c:pt>
                <c:pt idx="97">
                  <c:v>419.81665182713499</c:v>
                </c:pt>
                <c:pt idx="98">
                  <c:v>420.37776046499084</c:v>
                </c:pt>
                <c:pt idx="99">
                  <c:v>420.9388691028467</c:v>
                </c:pt>
                <c:pt idx="100">
                  <c:v>421.49997774070249</c:v>
                </c:pt>
                <c:pt idx="101">
                  <c:v>422.06108637855834</c:v>
                </c:pt>
                <c:pt idx="102">
                  <c:v>422.6221950164142</c:v>
                </c:pt>
                <c:pt idx="103">
                  <c:v>423.18330365426999</c:v>
                </c:pt>
                <c:pt idx="104">
                  <c:v>423.74441229212584</c:v>
                </c:pt>
                <c:pt idx="105">
                  <c:v>424.3055209299817</c:v>
                </c:pt>
                <c:pt idx="106">
                  <c:v>424.86662956783749</c:v>
                </c:pt>
                <c:pt idx="107">
                  <c:v>425.42773820569334</c:v>
                </c:pt>
                <c:pt idx="108">
                  <c:v>425.9888468435492</c:v>
                </c:pt>
                <c:pt idx="109">
                  <c:v>426.54995548140499</c:v>
                </c:pt>
                <c:pt idx="110">
                  <c:v>427.11106411926085</c:v>
                </c:pt>
                <c:pt idx="111">
                  <c:v>427.6721727571167</c:v>
                </c:pt>
                <c:pt idx="112">
                  <c:v>428.23328139497249</c:v>
                </c:pt>
                <c:pt idx="113">
                  <c:v>428.79439003282835</c:v>
                </c:pt>
                <c:pt idx="114">
                  <c:v>429.3554986706842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6-46BB-8C5D-248153DA63C5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sheet'!$A$2:$A$116</c:f>
              <c:numCache>
                <c:formatCode>m/d/yyyy</c:formatCode>
                <c:ptCount val="115"/>
                <c:pt idx="0">
                  <c:v>43312</c:v>
                </c:pt>
                <c:pt idx="1">
                  <c:v>43343</c:v>
                </c:pt>
                <c:pt idx="2">
                  <c:v>43373</c:v>
                </c:pt>
                <c:pt idx="3">
                  <c:v>43404</c:v>
                </c:pt>
                <c:pt idx="4">
                  <c:v>43434</c:v>
                </c:pt>
                <c:pt idx="5">
                  <c:v>43465</c:v>
                </c:pt>
                <c:pt idx="6">
                  <c:v>43496</c:v>
                </c:pt>
                <c:pt idx="7">
                  <c:v>43524</c:v>
                </c:pt>
                <c:pt idx="8">
                  <c:v>43555</c:v>
                </c:pt>
                <c:pt idx="9">
                  <c:v>43585</c:v>
                </c:pt>
                <c:pt idx="10">
                  <c:v>43616</c:v>
                </c:pt>
                <c:pt idx="11">
                  <c:v>43646</c:v>
                </c:pt>
                <c:pt idx="12">
                  <c:v>43677</c:v>
                </c:pt>
                <c:pt idx="13">
                  <c:v>43708</c:v>
                </c:pt>
                <c:pt idx="14">
                  <c:v>43738</c:v>
                </c:pt>
                <c:pt idx="15">
                  <c:v>43769</c:v>
                </c:pt>
                <c:pt idx="16">
                  <c:v>43799</c:v>
                </c:pt>
                <c:pt idx="17">
                  <c:v>43830</c:v>
                </c:pt>
                <c:pt idx="18">
                  <c:v>43861</c:v>
                </c:pt>
                <c:pt idx="19">
                  <c:v>43890</c:v>
                </c:pt>
                <c:pt idx="20">
                  <c:v>43921</c:v>
                </c:pt>
                <c:pt idx="21">
                  <c:v>43951</c:v>
                </c:pt>
                <c:pt idx="22">
                  <c:v>43982</c:v>
                </c:pt>
                <c:pt idx="23">
                  <c:v>44012</c:v>
                </c:pt>
                <c:pt idx="24">
                  <c:v>44043</c:v>
                </c:pt>
                <c:pt idx="25">
                  <c:v>44074</c:v>
                </c:pt>
                <c:pt idx="26">
                  <c:v>44104</c:v>
                </c:pt>
                <c:pt idx="27">
                  <c:v>44135</c:v>
                </c:pt>
                <c:pt idx="28">
                  <c:v>44165</c:v>
                </c:pt>
                <c:pt idx="29">
                  <c:v>44196</c:v>
                </c:pt>
                <c:pt idx="30">
                  <c:v>44227</c:v>
                </c:pt>
                <c:pt idx="31">
                  <c:v>44255</c:v>
                </c:pt>
                <c:pt idx="32">
                  <c:v>44286</c:v>
                </c:pt>
                <c:pt idx="33">
                  <c:v>44316</c:v>
                </c:pt>
                <c:pt idx="34">
                  <c:v>44347</c:v>
                </c:pt>
                <c:pt idx="35">
                  <c:v>44377</c:v>
                </c:pt>
                <c:pt idx="36">
                  <c:v>44408</c:v>
                </c:pt>
                <c:pt idx="37">
                  <c:v>44439</c:v>
                </c:pt>
                <c:pt idx="38">
                  <c:v>44469</c:v>
                </c:pt>
                <c:pt idx="39">
                  <c:v>44500</c:v>
                </c:pt>
                <c:pt idx="40">
                  <c:v>44530</c:v>
                </c:pt>
                <c:pt idx="41">
                  <c:v>44561</c:v>
                </c:pt>
                <c:pt idx="42">
                  <c:v>44592</c:v>
                </c:pt>
                <c:pt idx="43">
                  <c:v>44620</c:v>
                </c:pt>
                <c:pt idx="44">
                  <c:v>44651</c:v>
                </c:pt>
                <c:pt idx="45">
                  <c:v>44681</c:v>
                </c:pt>
                <c:pt idx="46">
                  <c:v>44712</c:v>
                </c:pt>
                <c:pt idx="47">
                  <c:v>44742</c:v>
                </c:pt>
                <c:pt idx="48">
                  <c:v>44773</c:v>
                </c:pt>
                <c:pt idx="49">
                  <c:v>44804</c:v>
                </c:pt>
                <c:pt idx="50">
                  <c:v>44834</c:v>
                </c:pt>
                <c:pt idx="51">
                  <c:v>44865</c:v>
                </c:pt>
                <c:pt idx="52">
                  <c:v>44895</c:v>
                </c:pt>
                <c:pt idx="53">
                  <c:v>44926</c:v>
                </c:pt>
                <c:pt idx="54">
                  <c:v>44957</c:v>
                </c:pt>
                <c:pt idx="55">
                  <c:v>44985</c:v>
                </c:pt>
                <c:pt idx="56">
                  <c:v>45016</c:v>
                </c:pt>
                <c:pt idx="57">
                  <c:v>45046</c:v>
                </c:pt>
                <c:pt idx="58">
                  <c:v>45077</c:v>
                </c:pt>
                <c:pt idx="59">
                  <c:v>45107</c:v>
                </c:pt>
                <c:pt idx="60">
                  <c:v>45138</c:v>
                </c:pt>
                <c:pt idx="61">
                  <c:v>45169</c:v>
                </c:pt>
                <c:pt idx="62">
                  <c:v>45199</c:v>
                </c:pt>
                <c:pt idx="63">
                  <c:v>45230</c:v>
                </c:pt>
                <c:pt idx="64">
                  <c:v>45260</c:v>
                </c:pt>
                <c:pt idx="65">
                  <c:v>45291</c:v>
                </c:pt>
                <c:pt idx="66">
                  <c:v>45322</c:v>
                </c:pt>
                <c:pt idx="67">
                  <c:v>45351</c:v>
                </c:pt>
                <c:pt idx="68">
                  <c:v>45382</c:v>
                </c:pt>
                <c:pt idx="69">
                  <c:v>45412</c:v>
                </c:pt>
                <c:pt idx="70">
                  <c:v>45443</c:v>
                </c:pt>
                <c:pt idx="71">
                  <c:v>45473</c:v>
                </c:pt>
                <c:pt idx="72">
                  <c:v>45504</c:v>
                </c:pt>
                <c:pt idx="73">
                  <c:v>45535</c:v>
                </c:pt>
                <c:pt idx="74">
                  <c:v>45565</c:v>
                </c:pt>
                <c:pt idx="75">
                  <c:v>45596</c:v>
                </c:pt>
                <c:pt idx="76">
                  <c:v>45626</c:v>
                </c:pt>
                <c:pt idx="77">
                  <c:v>45657</c:v>
                </c:pt>
                <c:pt idx="78">
                  <c:v>45688</c:v>
                </c:pt>
                <c:pt idx="79">
                  <c:v>45716</c:v>
                </c:pt>
                <c:pt idx="80">
                  <c:v>45747</c:v>
                </c:pt>
                <c:pt idx="81">
                  <c:v>45777</c:v>
                </c:pt>
                <c:pt idx="82">
                  <c:v>45808</c:v>
                </c:pt>
                <c:pt idx="83">
                  <c:v>45838</c:v>
                </c:pt>
                <c:pt idx="84">
                  <c:v>45869</c:v>
                </c:pt>
                <c:pt idx="85">
                  <c:v>45900</c:v>
                </c:pt>
                <c:pt idx="86">
                  <c:v>45930</c:v>
                </c:pt>
                <c:pt idx="87">
                  <c:v>45961</c:v>
                </c:pt>
                <c:pt idx="88">
                  <c:v>45991</c:v>
                </c:pt>
                <c:pt idx="89">
                  <c:v>46022</c:v>
                </c:pt>
                <c:pt idx="90">
                  <c:v>46053</c:v>
                </c:pt>
                <c:pt idx="91">
                  <c:v>46081</c:v>
                </c:pt>
                <c:pt idx="92">
                  <c:v>46109</c:v>
                </c:pt>
                <c:pt idx="93">
                  <c:v>46140</c:v>
                </c:pt>
                <c:pt idx="94">
                  <c:v>46170</c:v>
                </c:pt>
                <c:pt idx="95">
                  <c:v>46201</c:v>
                </c:pt>
                <c:pt idx="96">
                  <c:v>46231</c:v>
                </c:pt>
                <c:pt idx="97">
                  <c:v>46262</c:v>
                </c:pt>
                <c:pt idx="98">
                  <c:v>46293</c:v>
                </c:pt>
                <c:pt idx="99">
                  <c:v>46323</c:v>
                </c:pt>
                <c:pt idx="100">
                  <c:v>46354</c:v>
                </c:pt>
                <c:pt idx="101">
                  <c:v>46384</c:v>
                </c:pt>
                <c:pt idx="102">
                  <c:v>46415</c:v>
                </c:pt>
                <c:pt idx="103">
                  <c:v>46446</c:v>
                </c:pt>
                <c:pt idx="104">
                  <c:v>46474</c:v>
                </c:pt>
                <c:pt idx="105">
                  <c:v>46505</c:v>
                </c:pt>
                <c:pt idx="106">
                  <c:v>46535</c:v>
                </c:pt>
                <c:pt idx="107">
                  <c:v>46566</c:v>
                </c:pt>
                <c:pt idx="108">
                  <c:v>46596</c:v>
                </c:pt>
                <c:pt idx="109">
                  <c:v>46627</c:v>
                </c:pt>
                <c:pt idx="110">
                  <c:v>46658</c:v>
                </c:pt>
                <c:pt idx="111">
                  <c:v>46688</c:v>
                </c:pt>
                <c:pt idx="112">
                  <c:v>46719</c:v>
                </c:pt>
                <c:pt idx="113">
                  <c:v>46749</c:v>
                </c:pt>
                <c:pt idx="114">
                  <c:v>46780</c:v>
                </c:pt>
              </c:numCache>
            </c:numRef>
          </c:cat>
          <c:val>
            <c:numRef>
              <c:f>'Forecast sheet'!$D$2:$D$116</c:f>
              <c:numCache>
                <c:formatCode>General</c:formatCode>
                <c:ptCount val="115"/>
                <c:pt idx="91" formatCode="0.00">
                  <c:v>416.45</c:v>
                </c:pt>
                <c:pt idx="92" formatCode="0.00">
                  <c:v>315.19427108840273</c:v>
                </c:pt>
                <c:pt idx="93" formatCode="0.00">
                  <c:v>295.14708180226086</c:v>
                </c:pt>
                <c:pt idx="94" formatCode="0.00">
                  <c:v>278.05116247269632</c:v>
                </c:pt>
                <c:pt idx="95" formatCode="0.00">
                  <c:v>262.89974498321305</c:v>
                </c:pt>
                <c:pt idx="96" formatCode="0.00">
                  <c:v>249.15306560835205</c:v>
                </c:pt>
                <c:pt idx="97" formatCode="0.00">
                  <c:v>236.48188700563105</c:v>
                </c:pt>
                <c:pt idx="98" formatCode="0.00">
                  <c:v>224.6678849605828</c:v>
                </c:pt>
                <c:pt idx="99" formatCode="0.00">
                  <c:v>213.55750121775731</c:v>
                </c:pt>
                <c:pt idx="100" formatCode="0.00">
                  <c:v>203.03788525481443</c:v>
                </c:pt>
                <c:pt idx="101" formatCode="0.00">
                  <c:v>193.02323268281344</c:v>
                </c:pt>
                <c:pt idx="102" formatCode="0.00">
                  <c:v>183.44650604291124</c:v>
                </c:pt>
                <c:pt idx="103" formatCode="0.00">
                  <c:v>174.25415329650522</c:v>
                </c:pt>
                <c:pt idx="104" formatCode="0.00">
                  <c:v>165.40259557528702</c:v>
                </c:pt>
                <c:pt idx="105" formatCode="0.00">
                  <c:v>156.85580971413282</c:v>
                </c:pt>
                <c:pt idx="106" formatCode="0.00">
                  <c:v>148.58361538522797</c:v>
                </c:pt>
                <c:pt idx="107" formatCode="0.00">
                  <c:v>140.5604310483875</c:v>
                </c:pt>
                <c:pt idx="108" formatCode="0.00">
                  <c:v>132.7643508571835</c:v>
                </c:pt>
                <c:pt idx="109" formatCode="0.00">
                  <c:v>125.17644679596185</c:v>
                </c:pt>
                <c:pt idx="110" formatCode="0.00">
                  <c:v>117.78023233370828</c:v>
                </c:pt>
                <c:pt idx="111" formatCode="0.00">
                  <c:v>110.56124414207244</c:v>
                </c:pt>
                <c:pt idx="112" formatCode="0.00">
                  <c:v>103.50671159728347</c:v>
                </c:pt>
                <c:pt idx="113" formatCode="0.00">
                  <c:v>96.605292555334813</c:v>
                </c:pt>
                <c:pt idx="114" formatCode="0.00">
                  <c:v>89.846859853573278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6-46BB-8C5D-248153DA63C5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sheet'!$A$2:$A$116</c:f>
              <c:numCache>
                <c:formatCode>m/d/yyyy</c:formatCode>
                <c:ptCount val="115"/>
                <c:pt idx="0">
                  <c:v>43312</c:v>
                </c:pt>
                <c:pt idx="1">
                  <c:v>43343</c:v>
                </c:pt>
                <c:pt idx="2">
                  <c:v>43373</c:v>
                </c:pt>
                <c:pt idx="3">
                  <c:v>43404</c:v>
                </c:pt>
                <c:pt idx="4">
                  <c:v>43434</c:v>
                </c:pt>
                <c:pt idx="5">
                  <c:v>43465</c:v>
                </c:pt>
                <c:pt idx="6">
                  <c:v>43496</c:v>
                </c:pt>
                <c:pt idx="7">
                  <c:v>43524</c:v>
                </c:pt>
                <c:pt idx="8">
                  <c:v>43555</c:v>
                </c:pt>
                <c:pt idx="9">
                  <c:v>43585</c:v>
                </c:pt>
                <c:pt idx="10">
                  <c:v>43616</c:v>
                </c:pt>
                <c:pt idx="11">
                  <c:v>43646</c:v>
                </c:pt>
                <c:pt idx="12">
                  <c:v>43677</c:v>
                </c:pt>
                <c:pt idx="13">
                  <c:v>43708</c:v>
                </c:pt>
                <c:pt idx="14">
                  <c:v>43738</c:v>
                </c:pt>
                <c:pt idx="15">
                  <c:v>43769</c:v>
                </c:pt>
                <c:pt idx="16">
                  <c:v>43799</c:v>
                </c:pt>
                <c:pt idx="17">
                  <c:v>43830</c:v>
                </c:pt>
                <c:pt idx="18">
                  <c:v>43861</c:v>
                </c:pt>
                <c:pt idx="19">
                  <c:v>43890</c:v>
                </c:pt>
                <c:pt idx="20">
                  <c:v>43921</c:v>
                </c:pt>
                <c:pt idx="21">
                  <c:v>43951</c:v>
                </c:pt>
                <c:pt idx="22">
                  <c:v>43982</c:v>
                </c:pt>
                <c:pt idx="23">
                  <c:v>44012</c:v>
                </c:pt>
                <c:pt idx="24">
                  <c:v>44043</c:v>
                </c:pt>
                <c:pt idx="25">
                  <c:v>44074</c:v>
                </c:pt>
                <c:pt idx="26">
                  <c:v>44104</c:v>
                </c:pt>
                <c:pt idx="27">
                  <c:v>44135</c:v>
                </c:pt>
                <c:pt idx="28">
                  <c:v>44165</c:v>
                </c:pt>
                <c:pt idx="29">
                  <c:v>44196</c:v>
                </c:pt>
                <c:pt idx="30">
                  <c:v>44227</c:v>
                </c:pt>
                <c:pt idx="31">
                  <c:v>44255</c:v>
                </c:pt>
                <c:pt idx="32">
                  <c:v>44286</c:v>
                </c:pt>
                <c:pt idx="33">
                  <c:v>44316</c:v>
                </c:pt>
                <c:pt idx="34">
                  <c:v>44347</c:v>
                </c:pt>
                <c:pt idx="35">
                  <c:v>44377</c:v>
                </c:pt>
                <c:pt idx="36">
                  <c:v>44408</c:v>
                </c:pt>
                <c:pt idx="37">
                  <c:v>44439</c:v>
                </c:pt>
                <c:pt idx="38">
                  <c:v>44469</c:v>
                </c:pt>
                <c:pt idx="39">
                  <c:v>44500</c:v>
                </c:pt>
                <c:pt idx="40">
                  <c:v>44530</c:v>
                </c:pt>
                <c:pt idx="41">
                  <c:v>44561</c:v>
                </c:pt>
                <c:pt idx="42">
                  <c:v>44592</c:v>
                </c:pt>
                <c:pt idx="43">
                  <c:v>44620</c:v>
                </c:pt>
                <c:pt idx="44">
                  <c:v>44651</c:v>
                </c:pt>
                <c:pt idx="45">
                  <c:v>44681</c:v>
                </c:pt>
                <c:pt idx="46">
                  <c:v>44712</c:v>
                </c:pt>
                <c:pt idx="47">
                  <c:v>44742</c:v>
                </c:pt>
                <c:pt idx="48">
                  <c:v>44773</c:v>
                </c:pt>
                <c:pt idx="49">
                  <c:v>44804</c:v>
                </c:pt>
                <c:pt idx="50">
                  <c:v>44834</c:v>
                </c:pt>
                <c:pt idx="51">
                  <c:v>44865</c:v>
                </c:pt>
                <c:pt idx="52">
                  <c:v>44895</c:v>
                </c:pt>
                <c:pt idx="53">
                  <c:v>44926</c:v>
                </c:pt>
                <c:pt idx="54">
                  <c:v>44957</c:v>
                </c:pt>
                <c:pt idx="55">
                  <c:v>44985</c:v>
                </c:pt>
                <c:pt idx="56">
                  <c:v>45016</c:v>
                </c:pt>
                <c:pt idx="57">
                  <c:v>45046</c:v>
                </c:pt>
                <c:pt idx="58">
                  <c:v>45077</c:v>
                </c:pt>
                <c:pt idx="59">
                  <c:v>45107</c:v>
                </c:pt>
                <c:pt idx="60">
                  <c:v>45138</c:v>
                </c:pt>
                <c:pt idx="61">
                  <c:v>45169</c:v>
                </c:pt>
                <c:pt idx="62">
                  <c:v>45199</c:v>
                </c:pt>
                <c:pt idx="63">
                  <c:v>45230</c:v>
                </c:pt>
                <c:pt idx="64">
                  <c:v>45260</c:v>
                </c:pt>
                <c:pt idx="65">
                  <c:v>45291</c:v>
                </c:pt>
                <c:pt idx="66">
                  <c:v>45322</c:v>
                </c:pt>
                <c:pt idx="67">
                  <c:v>45351</c:v>
                </c:pt>
                <c:pt idx="68">
                  <c:v>45382</c:v>
                </c:pt>
                <c:pt idx="69">
                  <c:v>45412</c:v>
                </c:pt>
                <c:pt idx="70">
                  <c:v>45443</c:v>
                </c:pt>
                <c:pt idx="71">
                  <c:v>45473</c:v>
                </c:pt>
                <c:pt idx="72">
                  <c:v>45504</c:v>
                </c:pt>
                <c:pt idx="73">
                  <c:v>45535</c:v>
                </c:pt>
                <c:pt idx="74">
                  <c:v>45565</c:v>
                </c:pt>
                <c:pt idx="75">
                  <c:v>45596</c:v>
                </c:pt>
                <c:pt idx="76">
                  <c:v>45626</c:v>
                </c:pt>
                <c:pt idx="77">
                  <c:v>45657</c:v>
                </c:pt>
                <c:pt idx="78">
                  <c:v>45688</c:v>
                </c:pt>
                <c:pt idx="79">
                  <c:v>45716</c:v>
                </c:pt>
                <c:pt idx="80">
                  <c:v>45747</c:v>
                </c:pt>
                <c:pt idx="81">
                  <c:v>45777</c:v>
                </c:pt>
                <c:pt idx="82">
                  <c:v>45808</c:v>
                </c:pt>
                <c:pt idx="83">
                  <c:v>45838</c:v>
                </c:pt>
                <c:pt idx="84">
                  <c:v>45869</c:v>
                </c:pt>
                <c:pt idx="85">
                  <c:v>45900</c:v>
                </c:pt>
                <c:pt idx="86">
                  <c:v>45930</c:v>
                </c:pt>
                <c:pt idx="87">
                  <c:v>45961</c:v>
                </c:pt>
                <c:pt idx="88">
                  <c:v>45991</c:v>
                </c:pt>
                <c:pt idx="89">
                  <c:v>46022</c:v>
                </c:pt>
                <c:pt idx="90">
                  <c:v>46053</c:v>
                </c:pt>
                <c:pt idx="91">
                  <c:v>46081</c:v>
                </c:pt>
                <c:pt idx="92">
                  <c:v>46109</c:v>
                </c:pt>
                <c:pt idx="93">
                  <c:v>46140</c:v>
                </c:pt>
                <c:pt idx="94">
                  <c:v>46170</c:v>
                </c:pt>
                <c:pt idx="95">
                  <c:v>46201</c:v>
                </c:pt>
                <c:pt idx="96">
                  <c:v>46231</c:v>
                </c:pt>
                <c:pt idx="97">
                  <c:v>46262</c:v>
                </c:pt>
                <c:pt idx="98">
                  <c:v>46293</c:v>
                </c:pt>
                <c:pt idx="99">
                  <c:v>46323</c:v>
                </c:pt>
                <c:pt idx="100">
                  <c:v>46354</c:v>
                </c:pt>
                <c:pt idx="101">
                  <c:v>46384</c:v>
                </c:pt>
                <c:pt idx="102">
                  <c:v>46415</c:v>
                </c:pt>
                <c:pt idx="103">
                  <c:v>46446</c:v>
                </c:pt>
                <c:pt idx="104">
                  <c:v>46474</c:v>
                </c:pt>
                <c:pt idx="105">
                  <c:v>46505</c:v>
                </c:pt>
                <c:pt idx="106">
                  <c:v>46535</c:v>
                </c:pt>
                <c:pt idx="107">
                  <c:v>46566</c:v>
                </c:pt>
                <c:pt idx="108">
                  <c:v>46596</c:v>
                </c:pt>
                <c:pt idx="109">
                  <c:v>46627</c:v>
                </c:pt>
                <c:pt idx="110">
                  <c:v>46658</c:v>
                </c:pt>
                <c:pt idx="111">
                  <c:v>46688</c:v>
                </c:pt>
                <c:pt idx="112">
                  <c:v>46719</c:v>
                </c:pt>
                <c:pt idx="113">
                  <c:v>46749</c:v>
                </c:pt>
                <c:pt idx="114">
                  <c:v>46780</c:v>
                </c:pt>
              </c:numCache>
            </c:numRef>
          </c:cat>
          <c:val>
            <c:numRef>
              <c:f>'Forecast sheet'!$E$2:$E$116</c:f>
              <c:numCache>
                <c:formatCode>General</c:formatCode>
                <c:ptCount val="115"/>
                <c:pt idx="91" formatCode="0.00">
                  <c:v>416.45</c:v>
                </c:pt>
                <c:pt idx="92" formatCode="0.00">
                  <c:v>518.82794618730895</c:v>
                </c:pt>
                <c:pt idx="93" formatCode="0.00">
                  <c:v>539.99735274916247</c:v>
                </c:pt>
                <c:pt idx="94" formatCode="0.00">
                  <c:v>558.21548935443866</c:v>
                </c:pt>
                <c:pt idx="95" formatCode="0.00">
                  <c:v>574.48912411963363</c:v>
                </c:pt>
                <c:pt idx="96" formatCode="0.00">
                  <c:v>589.35802077020617</c:v>
                </c:pt>
                <c:pt idx="97" formatCode="0.00">
                  <c:v>603.15141664863893</c:v>
                </c:pt>
                <c:pt idx="98" formatCode="0.00">
                  <c:v>616.08763596939889</c:v>
                </c:pt>
                <c:pt idx="99" formatCode="0.00">
                  <c:v>628.32023698793614</c:v>
                </c:pt>
                <c:pt idx="100" formatCode="0.00">
                  <c:v>639.96207022659053</c:v>
                </c:pt>
                <c:pt idx="101" formatCode="0.00">
                  <c:v>651.0989400743033</c:v>
                </c:pt>
                <c:pt idx="102" formatCode="0.00">
                  <c:v>661.79788398991718</c:v>
                </c:pt>
                <c:pt idx="103" formatCode="0.00">
                  <c:v>672.11245401203473</c:v>
                </c:pt>
                <c:pt idx="104" formatCode="0.00">
                  <c:v>682.08622900896466</c:v>
                </c:pt>
                <c:pt idx="105" formatCode="0.00">
                  <c:v>691.75523214583063</c:v>
                </c:pt>
                <c:pt idx="106" formatCode="0.00">
                  <c:v>701.14964375044701</c:v>
                </c:pt>
                <c:pt idx="107" formatCode="0.00">
                  <c:v>710.29504536299919</c:v>
                </c:pt>
                <c:pt idx="108" formatCode="0.00">
                  <c:v>719.21334282991484</c:v>
                </c:pt>
                <c:pt idx="109" formatCode="0.00">
                  <c:v>727.92346416684813</c:v>
                </c:pt>
                <c:pt idx="110" formatCode="0.00">
                  <c:v>736.44189590481346</c:v>
                </c:pt>
                <c:pt idx="111" formatCode="0.00">
                  <c:v>744.7831013721609</c:v>
                </c:pt>
                <c:pt idx="112" formatCode="0.00">
                  <c:v>752.95985119266152</c:v>
                </c:pt>
                <c:pt idx="113" formatCode="0.00">
                  <c:v>760.98348751032188</c:v>
                </c:pt>
                <c:pt idx="114" formatCode="0.00">
                  <c:v>768.86413748779512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6-46BB-8C5D-248153DA6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837120"/>
        <c:axId val="303835200"/>
      </c:lineChart>
      <c:catAx>
        <c:axId val="30383712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35200"/>
        <c:crosses val="autoZero"/>
        <c:auto val="1"/>
        <c:lblAlgn val="ctr"/>
        <c:lblOffset val="100"/>
        <c:noMultiLvlLbl val="0"/>
      </c:catAx>
      <c:valAx>
        <c:axId val="3038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Brent vs. VLSFO (Monthly)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Oil_price_relationship!$C$1</c:f>
              <c:strCache>
                <c:ptCount val="1"/>
                <c:pt idx="0">
                  <c:v>Average of Brent Crude Oil Futures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Oil_price_relationship!$B$2:$B$224</c:f>
              <c:numCache>
                <c:formatCode>General</c:formatCode>
                <c:ptCount val="223"/>
                <c:pt idx="131">
                  <c:v>536.40750000000003</c:v>
                </c:pt>
                <c:pt idx="132">
                  <c:v>534.63200000000006</c:v>
                </c:pt>
                <c:pt idx="133">
                  <c:v>556.38499999999999</c:v>
                </c:pt>
                <c:pt idx="134">
                  <c:v>584.66249999999991</c:v>
                </c:pt>
                <c:pt idx="135">
                  <c:v>497.12399999999997</c:v>
                </c:pt>
                <c:pt idx="136">
                  <c:v>426.30250000000001</c:v>
                </c:pt>
                <c:pt idx="137">
                  <c:v>451.64750000000004</c:v>
                </c:pt>
                <c:pt idx="138">
                  <c:v>485.96749999999997</c:v>
                </c:pt>
                <c:pt idx="139">
                  <c:v>496.51800000000003</c:v>
                </c:pt>
                <c:pt idx="140">
                  <c:v>515.23</c:v>
                </c:pt>
                <c:pt idx="141">
                  <c:v>507.904</c:v>
                </c:pt>
                <c:pt idx="142">
                  <c:v>480.36500000000001</c:v>
                </c:pt>
                <c:pt idx="143">
                  <c:v>489.84250000000003</c:v>
                </c:pt>
                <c:pt idx="144">
                  <c:v>455.56400000000002</c:v>
                </c:pt>
                <c:pt idx="145">
                  <c:v>466.37749999999994</c:v>
                </c:pt>
                <c:pt idx="146">
                  <c:v>468.10499999999996</c:v>
                </c:pt>
                <c:pt idx="147">
                  <c:v>475.19800000000004</c:v>
                </c:pt>
                <c:pt idx="148">
                  <c:v>514.59249999999997</c:v>
                </c:pt>
                <c:pt idx="149">
                  <c:v>506.18399999999991</c:v>
                </c:pt>
                <c:pt idx="150">
                  <c:v>421.16750000000002</c:v>
                </c:pt>
                <c:pt idx="151">
                  <c:v>258.60000000000002</c:v>
                </c:pt>
                <c:pt idx="152">
                  <c:v>219.68499999999997</c:v>
                </c:pt>
                <c:pt idx="153">
                  <c:v>224.75200000000001</c:v>
                </c:pt>
                <c:pt idx="154">
                  <c:v>278.065</c:v>
                </c:pt>
                <c:pt idx="155">
                  <c:v>303.18400000000003</c:v>
                </c:pt>
                <c:pt idx="156">
                  <c:v>307.63499999999999</c:v>
                </c:pt>
                <c:pt idx="157">
                  <c:v>287.58500000000004</c:v>
                </c:pt>
                <c:pt idx="158">
                  <c:v>292.66399999999999</c:v>
                </c:pt>
                <c:pt idx="159">
                  <c:v>318.21749999999997</c:v>
                </c:pt>
                <c:pt idx="160">
                  <c:v>363.89249999999998</c:v>
                </c:pt>
                <c:pt idx="161">
                  <c:v>395.30399999999997</c:v>
                </c:pt>
                <c:pt idx="162">
                  <c:v>456.15750000000003</c:v>
                </c:pt>
                <c:pt idx="163">
                  <c:v>473.22749999999996</c:v>
                </c:pt>
                <c:pt idx="164">
                  <c:v>458.65800000000002</c:v>
                </c:pt>
                <c:pt idx="165">
                  <c:v>469.65250000000003</c:v>
                </c:pt>
                <c:pt idx="166">
                  <c:v>504.29750000000001</c:v>
                </c:pt>
                <c:pt idx="167">
                  <c:v>516.52600000000007</c:v>
                </c:pt>
                <c:pt idx="168">
                  <c:v>480.90999999999997</c:v>
                </c:pt>
                <c:pt idx="169">
                  <c:v>511.43499999999995</c:v>
                </c:pt>
                <c:pt idx="170">
                  <c:v>565.36799999999994</c:v>
                </c:pt>
                <c:pt idx="171">
                  <c:v>540.59249999999997</c:v>
                </c:pt>
                <c:pt idx="172">
                  <c:v>519.98800000000006</c:v>
                </c:pt>
                <c:pt idx="173">
                  <c:v>596.9375</c:v>
                </c:pt>
                <c:pt idx="174">
                  <c:v>658.24250000000006</c:v>
                </c:pt>
                <c:pt idx="175">
                  <c:v>791.4325</c:v>
                </c:pt>
                <c:pt idx="176">
                  <c:v>740.78800000000001</c:v>
                </c:pt>
                <c:pt idx="177">
                  <c:v>779.58</c:v>
                </c:pt>
                <c:pt idx="178">
                  <c:v>829.05000000000007</c:v>
                </c:pt>
                <c:pt idx="179">
                  <c:v>720.85799999999995</c:v>
                </c:pt>
                <c:pt idx="180">
                  <c:v>653.76750000000004</c:v>
                </c:pt>
                <c:pt idx="181">
                  <c:v>596.35599999999999</c:v>
                </c:pt>
                <c:pt idx="182">
                  <c:v>611.70749999999998</c:v>
                </c:pt>
                <c:pt idx="183">
                  <c:v>563.98</c:v>
                </c:pt>
                <c:pt idx="184">
                  <c:v>502.95</c:v>
                </c:pt>
                <c:pt idx="185">
                  <c:v>538.4</c:v>
                </c:pt>
                <c:pt idx="186">
                  <c:v>534.17750000000001</c:v>
                </c:pt>
                <c:pt idx="187">
                  <c:v>513.548</c:v>
                </c:pt>
                <c:pt idx="188">
                  <c:v>533.38000000000011</c:v>
                </c:pt>
                <c:pt idx="189">
                  <c:v>488.13750000000005</c:v>
                </c:pt>
                <c:pt idx="190">
                  <c:v>502.49399999999997</c:v>
                </c:pt>
                <c:pt idx="191">
                  <c:v>529.44749999999999</c:v>
                </c:pt>
                <c:pt idx="192">
                  <c:v>571.76250000000005</c:v>
                </c:pt>
                <c:pt idx="193">
                  <c:v>590.72799999999995</c:v>
                </c:pt>
                <c:pt idx="194">
                  <c:v>571.15750000000003</c:v>
                </c:pt>
                <c:pt idx="195">
                  <c:v>540.5474999999999</c:v>
                </c:pt>
                <c:pt idx="196">
                  <c:v>520.84799999999996</c:v>
                </c:pt>
                <c:pt idx="197">
                  <c:v>534.32249999999999</c:v>
                </c:pt>
                <c:pt idx="198">
                  <c:v>548.745</c:v>
                </c:pt>
                <c:pt idx="199">
                  <c:v>573.97</c:v>
                </c:pt>
                <c:pt idx="200">
                  <c:v>592.48</c:v>
                </c:pt>
                <c:pt idx="201">
                  <c:v>542.73400000000004</c:v>
                </c:pt>
                <c:pt idx="202">
                  <c:v>542.56000000000006</c:v>
                </c:pt>
                <c:pt idx="203">
                  <c:v>547.67250000000001</c:v>
                </c:pt>
                <c:pt idx="204">
                  <c:v>521.60600000000011</c:v>
                </c:pt>
                <c:pt idx="205">
                  <c:v>486.39249999999993</c:v>
                </c:pt>
                <c:pt idx="206">
                  <c:v>513.46749999999997</c:v>
                </c:pt>
                <c:pt idx="207">
                  <c:v>490.34199999999998</c:v>
                </c:pt>
                <c:pt idx="208">
                  <c:v>505.13249999999999</c:v>
                </c:pt>
                <c:pt idx="209">
                  <c:v>524.976</c:v>
                </c:pt>
                <c:pt idx="210">
                  <c:v>502.67249999999996</c:v>
                </c:pt>
                <c:pt idx="211">
                  <c:v>468.57749999999999</c:v>
                </c:pt>
                <c:pt idx="212">
                  <c:v>437.19749999999999</c:v>
                </c:pt>
                <c:pt idx="213">
                  <c:v>438.07</c:v>
                </c:pt>
                <c:pt idx="214">
                  <c:v>481.86999999999995</c:v>
                </c:pt>
                <c:pt idx="215">
                  <c:v>468.49749999999995</c:v>
                </c:pt>
                <c:pt idx="216">
                  <c:v>457.09000000000003</c:v>
                </c:pt>
                <c:pt idx="217">
                  <c:v>435.1</c:v>
                </c:pt>
                <c:pt idx="218">
                  <c:v>411.58199999999999</c:v>
                </c:pt>
                <c:pt idx="219">
                  <c:v>402.58500000000004</c:v>
                </c:pt>
                <c:pt idx="220">
                  <c:v>380.79749999999996</c:v>
                </c:pt>
                <c:pt idx="221">
                  <c:v>392.19200000000001</c:v>
                </c:pt>
                <c:pt idx="222">
                  <c:v>416.45</c:v>
                </c:pt>
              </c:numCache>
            </c:numRef>
          </c:xVal>
          <c:yVal>
            <c:numRef>
              <c:f>Oil_price_relationship!$C$2:$C$224</c:f>
              <c:numCache>
                <c:formatCode>General</c:formatCode>
                <c:ptCount val="223"/>
                <c:pt idx="0">
                  <c:v>71.777999999999992</c:v>
                </c:pt>
                <c:pt idx="1">
                  <c:v>77.44</c:v>
                </c:pt>
                <c:pt idx="2">
                  <c:v>82.982500000000002</c:v>
                </c:pt>
                <c:pt idx="3">
                  <c:v>92.179999999999993</c:v>
                </c:pt>
                <c:pt idx="4">
                  <c:v>91.912499999999994</c:v>
                </c:pt>
                <c:pt idx="5">
                  <c:v>91.997500000000002</c:v>
                </c:pt>
                <c:pt idx="6">
                  <c:v>94.623999999999995</c:v>
                </c:pt>
                <c:pt idx="7">
                  <c:v>103.52</c:v>
                </c:pt>
                <c:pt idx="8">
                  <c:v>110.97749999999999</c:v>
                </c:pt>
                <c:pt idx="9">
                  <c:v>124.85999999999999</c:v>
                </c:pt>
                <c:pt idx="10">
                  <c:v>136.7775</c:v>
                </c:pt>
                <c:pt idx="11">
                  <c:v>136.32000000000002</c:v>
                </c:pt>
                <c:pt idx="12">
                  <c:v>115.60599999999999</c:v>
                </c:pt>
                <c:pt idx="13">
                  <c:v>101.20500000000001</c:v>
                </c:pt>
                <c:pt idx="14">
                  <c:v>72.262</c:v>
                </c:pt>
                <c:pt idx="15">
                  <c:v>53.567500000000003</c:v>
                </c:pt>
                <c:pt idx="16">
                  <c:v>42.13</c:v>
                </c:pt>
                <c:pt idx="17">
                  <c:v>46.43</c:v>
                </c:pt>
                <c:pt idx="18">
                  <c:v>44.815000000000005</c:v>
                </c:pt>
                <c:pt idx="19">
                  <c:v>48.244999999999997</c:v>
                </c:pt>
                <c:pt idx="20">
                  <c:v>53.137500000000003</c:v>
                </c:pt>
                <c:pt idx="21">
                  <c:v>58.653999999999996</c:v>
                </c:pt>
                <c:pt idx="22">
                  <c:v>69.342500000000001</c:v>
                </c:pt>
                <c:pt idx="23">
                  <c:v>66.914000000000001</c:v>
                </c:pt>
                <c:pt idx="24">
                  <c:v>73.245000000000005</c:v>
                </c:pt>
                <c:pt idx="25">
                  <c:v>67.734999999999999</c:v>
                </c:pt>
                <c:pt idx="26">
                  <c:v>73.835999999999999</c:v>
                </c:pt>
                <c:pt idx="27">
                  <c:v>76.45</c:v>
                </c:pt>
                <c:pt idx="28">
                  <c:v>74.649999999999991</c:v>
                </c:pt>
                <c:pt idx="29">
                  <c:v>76.16</c:v>
                </c:pt>
                <c:pt idx="30">
                  <c:v>74.567499999999995</c:v>
                </c:pt>
                <c:pt idx="31">
                  <c:v>79.612499999999997</c:v>
                </c:pt>
                <c:pt idx="32">
                  <c:v>85.903999999999996</c:v>
                </c:pt>
                <c:pt idx="33">
                  <c:v>76.02</c:v>
                </c:pt>
                <c:pt idx="34">
                  <c:v>75.694999999999993</c:v>
                </c:pt>
                <c:pt idx="35">
                  <c:v>75.614000000000004</c:v>
                </c:pt>
                <c:pt idx="36">
                  <c:v>76.544999999999987</c:v>
                </c:pt>
                <c:pt idx="37">
                  <c:v>77.977499999999992</c:v>
                </c:pt>
                <c:pt idx="38">
                  <c:v>83.268000000000001</c:v>
                </c:pt>
                <c:pt idx="39">
                  <c:v>86.092499999999987</c:v>
                </c:pt>
                <c:pt idx="40">
                  <c:v>92.513999999999996</c:v>
                </c:pt>
                <c:pt idx="41">
                  <c:v>97.102500000000006</c:v>
                </c:pt>
                <c:pt idx="42">
                  <c:v>103.88499999999999</c:v>
                </c:pt>
                <c:pt idx="43">
                  <c:v>114.83250000000001</c:v>
                </c:pt>
                <c:pt idx="44">
                  <c:v>123.73600000000002</c:v>
                </c:pt>
                <c:pt idx="45">
                  <c:v>112.595</c:v>
                </c:pt>
                <c:pt idx="46">
                  <c:v>113.2375</c:v>
                </c:pt>
                <c:pt idx="47">
                  <c:v>116.554</c:v>
                </c:pt>
                <c:pt idx="48">
                  <c:v>109.345</c:v>
                </c:pt>
                <c:pt idx="49">
                  <c:v>108.80999999999999</c:v>
                </c:pt>
                <c:pt idx="50">
                  <c:v>110.00749999999999</c:v>
                </c:pt>
                <c:pt idx="51">
                  <c:v>110.02250000000001</c:v>
                </c:pt>
                <c:pt idx="52">
                  <c:v>107.45</c:v>
                </c:pt>
                <c:pt idx="53">
                  <c:v>111.205</c:v>
                </c:pt>
                <c:pt idx="54">
                  <c:v>119.23499999999999</c:v>
                </c:pt>
                <c:pt idx="55">
                  <c:v>124.69000000000001</c:v>
                </c:pt>
                <c:pt idx="56">
                  <c:v>120.96249999999999</c:v>
                </c:pt>
                <c:pt idx="57">
                  <c:v>109.85249999999999</c:v>
                </c:pt>
                <c:pt idx="58">
                  <c:v>96.858000000000004</c:v>
                </c:pt>
                <c:pt idx="59">
                  <c:v>103.4725</c:v>
                </c:pt>
                <c:pt idx="60">
                  <c:v>112.752</c:v>
                </c:pt>
                <c:pt idx="61">
                  <c:v>113.67999999999999</c:v>
                </c:pt>
                <c:pt idx="62">
                  <c:v>111.5825</c:v>
                </c:pt>
                <c:pt idx="63">
                  <c:v>109.328</c:v>
                </c:pt>
                <c:pt idx="64">
                  <c:v>108.94</c:v>
                </c:pt>
                <c:pt idx="65">
                  <c:v>111.78</c:v>
                </c:pt>
                <c:pt idx="66">
                  <c:v>116.85500000000002</c:v>
                </c:pt>
                <c:pt idx="67">
                  <c:v>109.75</c:v>
                </c:pt>
                <c:pt idx="68">
                  <c:v>102.50999999999999</c:v>
                </c:pt>
                <c:pt idx="69">
                  <c:v>103.154</c:v>
                </c:pt>
                <c:pt idx="70">
                  <c:v>103.38999999999999</c:v>
                </c:pt>
                <c:pt idx="71">
                  <c:v>107.94250000000001</c:v>
                </c:pt>
                <c:pt idx="72">
                  <c:v>110.52400000000003</c:v>
                </c:pt>
                <c:pt idx="73">
                  <c:v>111.6875</c:v>
                </c:pt>
                <c:pt idx="74">
                  <c:v>109.4025</c:v>
                </c:pt>
                <c:pt idx="75">
                  <c:v>108.054</c:v>
                </c:pt>
                <c:pt idx="76">
                  <c:v>111.0975</c:v>
                </c:pt>
                <c:pt idx="77">
                  <c:v>106.97999999999999</c:v>
                </c:pt>
                <c:pt idx="78">
                  <c:v>109.3925</c:v>
                </c:pt>
                <c:pt idx="79">
                  <c:v>108.14</c:v>
                </c:pt>
                <c:pt idx="80">
                  <c:v>108.29</c:v>
                </c:pt>
                <c:pt idx="81">
                  <c:v>109.23600000000002</c:v>
                </c:pt>
                <c:pt idx="82">
                  <c:v>112.5325</c:v>
                </c:pt>
                <c:pt idx="83">
                  <c:v>108.32249999999999</c:v>
                </c:pt>
                <c:pt idx="84">
                  <c:v>103.774</c:v>
                </c:pt>
                <c:pt idx="85">
                  <c:v>98.33</c:v>
                </c:pt>
                <c:pt idx="86">
                  <c:v>88.133999999999986</c:v>
                </c:pt>
                <c:pt idx="87">
                  <c:v>78.327500000000015</c:v>
                </c:pt>
                <c:pt idx="88">
                  <c:v>62.9375</c:v>
                </c:pt>
                <c:pt idx="89">
                  <c:v>51.695999999999991</c:v>
                </c:pt>
                <c:pt idx="90">
                  <c:v>60.53</c:v>
                </c:pt>
                <c:pt idx="91">
                  <c:v>56.532499999999999</c:v>
                </c:pt>
                <c:pt idx="92">
                  <c:v>60.387499999999996</c:v>
                </c:pt>
                <c:pt idx="93">
                  <c:v>65.917999999999992</c:v>
                </c:pt>
                <c:pt idx="94">
                  <c:v>63.365000000000002</c:v>
                </c:pt>
                <c:pt idx="95">
                  <c:v>56.946000000000005</c:v>
                </c:pt>
                <c:pt idx="96">
                  <c:v>48.287499999999994</c:v>
                </c:pt>
                <c:pt idx="97">
                  <c:v>48.454999999999998</c:v>
                </c:pt>
                <c:pt idx="98">
                  <c:v>49.758000000000003</c:v>
                </c:pt>
                <c:pt idx="99">
                  <c:v>45.137500000000003</c:v>
                </c:pt>
                <c:pt idx="100">
                  <c:v>38.924999999999997</c:v>
                </c:pt>
                <c:pt idx="101">
                  <c:v>33.338000000000001</c:v>
                </c:pt>
                <c:pt idx="102">
                  <c:v>33.8825</c:v>
                </c:pt>
                <c:pt idx="103">
                  <c:v>40.1875</c:v>
                </c:pt>
                <c:pt idx="104">
                  <c:v>43.39</c:v>
                </c:pt>
                <c:pt idx="105">
                  <c:v>47.809999999999995</c:v>
                </c:pt>
                <c:pt idx="106">
                  <c:v>49.440000000000005</c:v>
                </c:pt>
                <c:pt idx="107">
                  <c:v>46.573999999999998</c:v>
                </c:pt>
                <c:pt idx="108">
                  <c:v>48.010000000000005</c:v>
                </c:pt>
                <c:pt idx="109">
                  <c:v>47.112000000000002</c:v>
                </c:pt>
                <c:pt idx="110">
                  <c:v>51.342500000000001</c:v>
                </c:pt>
                <c:pt idx="111">
                  <c:v>46.107500000000002</c:v>
                </c:pt>
                <c:pt idx="112">
                  <c:v>55.196000000000005</c:v>
                </c:pt>
                <c:pt idx="113">
                  <c:v>55.890000000000008</c:v>
                </c:pt>
                <c:pt idx="114">
                  <c:v>56.327500000000001</c:v>
                </c:pt>
                <c:pt idx="115">
                  <c:v>52.531999999999996</c:v>
                </c:pt>
                <c:pt idx="116">
                  <c:v>53.704999999999998</c:v>
                </c:pt>
                <c:pt idx="117">
                  <c:v>51.425000000000004</c:v>
                </c:pt>
                <c:pt idx="118">
                  <c:v>47.786000000000001</c:v>
                </c:pt>
                <c:pt idx="119">
                  <c:v>49.050000000000004</c:v>
                </c:pt>
                <c:pt idx="120">
                  <c:v>52.412500000000001</c:v>
                </c:pt>
                <c:pt idx="121">
                  <c:v>55.283999999999992</c:v>
                </c:pt>
                <c:pt idx="122">
                  <c:v>57.744999999999997</c:v>
                </c:pt>
                <c:pt idx="123">
                  <c:v>63.042500000000004</c:v>
                </c:pt>
                <c:pt idx="124">
                  <c:v>64.496000000000009</c:v>
                </c:pt>
                <c:pt idx="125">
                  <c:v>69.155000000000001</c:v>
                </c:pt>
                <c:pt idx="126">
                  <c:v>65.88</c:v>
                </c:pt>
                <c:pt idx="127">
                  <c:v>67.35799999999999</c:v>
                </c:pt>
                <c:pt idx="128">
                  <c:v>72.097499999999997</c:v>
                </c:pt>
                <c:pt idx="129">
                  <c:v>76.734999999999999</c:v>
                </c:pt>
                <c:pt idx="130">
                  <c:v>76.335999999999999</c:v>
                </c:pt>
                <c:pt idx="131">
                  <c:v>74.95</c:v>
                </c:pt>
                <c:pt idx="132">
                  <c:v>74.217999999999989</c:v>
                </c:pt>
                <c:pt idx="133">
                  <c:v>79.110000000000014</c:v>
                </c:pt>
                <c:pt idx="134">
                  <c:v>80.497500000000002</c:v>
                </c:pt>
                <c:pt idx="135">
                  <c:v>65.455999999999989</c:v>
                </c:pt>
                <c:pt idx="136">
                  <c:v>56.992500000000007</c:v>
                </c:pt>
                <c:pt idx="137">
                  <c:v>60.47</c:v>
                </c:pt>
                <c:pt idx="138">
                  <c:v>64.555000000000007</c:v>
                </c:pt>
                <c:pt idx="139">
                  <c:v>66.677999999999997</c:v>
                </c:pt>
                <c:pt idx="140">
                  <c:v>71.502499999999998</c:v>
                </c:pt>
                <c:pt idx="141">
                  <c:v>69.372</c:v>
                </c:pt>
                <c:pt idx="142">
                  <c:v>64.262500000000003</c:v>
                </c:pt>
                <c:pt idx="143">
                  <c:v>64.22</c:v>
                </c:pt>
                <c:pt idx="144">
                  <c:v>59.765999999999998</c:v>
                </c:pt>
                <c:pt idx="145">
                  <c:v>61.987499999999997</c:v>
                </c:pt>
                <c:pt idx="146">
                  <c:v>60.080000000000005</c:v>
                </c:pt>
                <c:pt idx="147">
                  <c:v>62.672000000000004</c:v>
                </c:pt>
                <c:pt idx="148">
                  <c:v>65.977499999999992</c:v>
                </c:pt>
                <c:pt idx="149">
                  <c:v>63.455999999999996</c:v>
                </c:pt>
                <c:pt idx="150">
                  <c:v>55.202500000000001</c:v>
                </c:pt>
                <c:pt idx="151">
                  <c:v>32.7575</c:v>
                </c:pt>
                <c:pt idx="152">
                  <c:v>28.7775</c:v>
                </c:pt>
                <c:pt idx="153">
                  <c:v>32.073999999999998</c:v>
                </c:pt>
                <c:pt idx="154">
                  <c:v>41.06</c:v>
                </c:pt>
                <c:pt idx="155">
                  <c:v>43.231999999999992</c:v>
                </c:pt>
                <c:pt idx="156">
                  <c:v>44.649999999999991</c:v>
                </c:pt>
                <c:pt idx="157">
                  <c:v>41.89</c:v>
                </c:pt>
                <c:pt idx="158">
                  <c:v>40.856000000000009</c:v>
                </c:pt>
                <c:pt idx="159">
                  <c:v>43.842500000000001</c:v>
                </c:pt>
                <c:pt idx="160">
                  <c:v>50.692499999999995</c:v>
                </c:pt>
                <c:pt idx="161">
                  <c:v>54.835999999999999</c:v>
                </c:pt>
                <c:pt idx="162">
                  <c:v>62.702500000000001</c:v>
                </c:pt>
                <c:pt idx="163">
                  <c:v>66.919999999999987</c:v>
                </c:pt>
                <c:pt idx="164">
                  <c:v>65.587999999999994</c:v>
                </c:pt>
                <c:pt idx="165">
                  <c:v>68.265000000000001</c:v>
                </c:pt>
                <c:pt idx="166">
                  <c:v>73.567499999999995</c:v>
                </c:pt>
                <c:pt idx="167">
                  <c:v>75.147999999999996</c:v>
                </c:pt>
                <c:pt idx="168">
                  <c:v>69.792500000000004</c:v>
                </c:pt>
                <c:pt idx="169">
                  <c:v>74.740000000000009</c:v>
                </c:pt>
                <c:pt idx="170">
                  <c:v>83.288000000000011</c:v>
                </c:pt>
                <c:pt idx="171">
                  <c:v>79.13</c:v>
                </c:pt>
                <c:pt idx="172">
                  <c:v>74.635999999999996</c:v>
                </c:pt>
                <c:pt idx="173">
                  <c:v>86.432500000000005</c:v>
                </c:pt>
                <c:pt idx="174">
                  <c:v>94.795000000000002</c:v>
                </c:pt>
                <c:pt idx="175">
                  <c:v>114.84</c:v>
                </c:pt>
                <c:pt idx="176">
                  <c:v>106.97200000000001</c:v>
                </c:pt>
                <c:pt idx="177">
                  <c:v>113.98</c:v>
                </c:pt>
                <c:pt idx="178">
                  <c:v>116.99250000000001</c:v>
                </c:pt>
                <c:pt idx="179">
                  <c:v>106.604</c:v>
                </c:pt>
                <c:pt idx="180">
                  <c:v>97.694999999999993</c:v>
                </c:pt>
                <c:pt idx="181">
                  <c:v>90.263999999999996</c:v>
                </c:pt>
                <c:pt idx="182">
                  <c:v>94.704999999999998</c:v>
                </c:pt>
                <c:pt idx="183">
                  <c:v>91.452500000000001</c:v>
                </c:pt>
                <c:pt idx="184">
                  <c:v>82.10799999999999</c:v>
                </c:pt>
                <c:pt idx="185">
                  <c:v>84.534999999999997</c:v>
                </c:pt>
                <c:pt idx="186">
                  <c:v>83.122500000000002</c:v>
                </c:pt>
                <c:pt idx="187">
                  <c:v>79.268000000000001</c:v>
                </c:pt>
                <c:pt idx="188">
                  <c:v>83.157499999999999</c:v>
                </c:pt>
                <c:pt idx="189">
                  <c:v>75.5</c:v>
                </c:pt>
                <c:pt idx="190">
                  <c:v>75.256</c:v>
                </c:pt>
                <c:pt idx="191">
                  <c:v>81.099999999999994</c:v>
                </c:pt>
                <c:pt idx="192">
                  <c:v>85.58250000000001</c:v>
                </c:pt>
                <c:pt idx="193">
                  <c:v>92.341999999999999</c:v>
                </c:pt>
                <c:pt idx="194">
                  <c:v>89.527500000000003</c:v>
                </c:pt>
                <c:pt idx="195">
                  <c:v>81.877499999999998</c:v>
                </c:pt>
                <c:pt idx="196">
                  <c:v>77.475999999999999</c:v>
                </c:pt>
                <c:pt idx="197">
                  <c:v>79.790000000000006</c:v>
                </c:pt>
                <c:pt idx="198">
                  <c:v>81.152500000000003</c:v>
                </c:pt>
                <c:pt idx="199">
                  <c:v>84.775999999999996</c:v>
                </c:pt>
                <c:pt idx="200">
                  <c:v>89.602500000000006</c:v>
                </c:pt>
                <c:pt idx="201">
                  <c:v>82.694000000000003</c:v>
                </c:pt>
                <c:pt idx="202">
                  <c:v>83.472499999999997</c:v>
                </c:pt>
                <c:pt idx="203">
                  <c:v>83.832499999999996</c:v>
                </c:pt>
                <c:pt idx="204">
                  <c:v>78.794000000000011</c:v>
                </c:pt>
                <c:pt idx="205">
                  <c:v>72.285000000000011</c:v>
                </c:pt>
                <c:pt idx="206">
                  <c:v>76.55</c:v>
                </c:pt>
                <c:pt idx="207">
                  <c:v>73.224000000000004</c:v>
                </c:pt>
                <c:pt idx="208">
                  <c:v>73.180000000000007</c:v>
                </c:pt>
                <c:pt idx="209">
                  <c:v>78.463999999999999</c:v>
                </c:pt>
                <c:pt idx="210">
                  <c:v>74.252499999999998</c:v>
                </c:pt>
                <c:pt idx="211">
                  <c:v>71.682500000000005</c:v>
                </c:pt>
                <c:pt idx="212">
                  <c:v>66.292500000000004</c:v>
                </c:pt>
                <c:pt idx="213">
                  <c:v>63.85799999999999</c:v>
                </c:pt>
                <c:pt idx="214">
                  <c:v>71.36999999999999</c:v>
                </c:pt>
                <c:pt idx="215">
                  <c:v>69.22</c:v>
                </c:pt>
                <c:pt idx="216">
                  <c:v>67.591999999999999</c:v>
                </c:pt>
                <c:pt idx="217">
                  <c:v>67.325000000000003</c:v>
                </c:pt>
                <c:pt idx="218">
                  <c:v>63.911999999999992</c:v>
                </c:pt>
                <c:pt idx="219">
                  <c:v>63.445000000000007</c:v>
                </c:pt>
                <c:pt idx="220">
                  <c:v>61.495000000000005</c:v>
                </c:pt>
                <c:pt idx="221">
                  <c:v>64.957999999999998</c:v>
                </c:pt>
                <c:pt idx="222">
                  <c:v>68.116666666666674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7-4234-8780-552824D9A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128176"/>
        <c:axId val="433128656"/>
      </c:scatterChart>
      <c:valAx>
        <c:axId val="43312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28656"/>
        <c:crosses val="autoZero"/>
        <c:crossBetween val="midCat"/>
      </c:valAx>
      <c:valAx>
        <c:axId val="43312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2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15240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6C4123-5CFB-4054-A68A-CA2212640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605790</xdr:colOff>
      <xdr:row>0</xdr:row>
      <xdr:rowOff>0</xdr:rowOff>
    </xdr:from>
    <xdr:to>
      <xdr:col>21</xdr:col>
      <xdr:colOff>291465</xdr:colOff>
      <xdr:row>24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B5EEF-4D27-C874-2ABE-A001C94B2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2</xdr:row>
      <xdr:rowOff>15240</xdr:rowOff>
    </xdr:from>
    <xdr:to>
      <xdr:col>13</xdr:col>
      <xdr:colOff>426720</xdr:colOff>
      <xdr:row>6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BC009E-E113-2561-B071-B291405E8468}"/>
            </a:ext>
          </a:extLst>
        </xdr:cNvPr>
        <xdr:cNvSpPr txBox="1"/>
      </xdr:nvSpPr>
      <xdr:spPr>
        <a:xfrm>
          <a:off x="8930640" y="381000"/>
          <a:ext cx="3802380" cy="861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Forecast VLSFO feeds into each COA’s BAF formula to compute expected all-in freight cost, which we then minimize via an allocation optimization model (subject to COA Min/Max constraints)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30480</xdr:rowOff>
    </xdr:from>
    <xdr:to>
      <xdr:col>14</xdr:col>
      <xdr:colOff>22860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90BBB2-3E70-DA36-ED62-833950A8A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24</xdr:row>
      <xdr:rowOff>7620</xdr:rowOff>
    </xdr:from>
    <xdr:to>
      <xdr:col>10</xdr:col>
      <xdr:colOff>236220</xdr:colOff>
      <xdr:row>26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79D98-AF7E-A07F-BA4C-F36C062B58C0}"/>
            </a:ext>
          </a:extLst>
        </xdr:cNvPr>
        <xdr:cNvSpPr txBox="1"/>
      </xdr:nvSpPr>
      <xdr:spPr>
        <a:xfrm>
          <a:off x="6705600" y="4396740"/>
          <a:ext cx="390144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simple linear model explains </a:t>
          </a:r>
          <a:r>
            <a:rPr lang="vi-V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94.02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of VLSFO variation using Brent prices, reinforcing that we can use Brent as a key market indicator.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guye\Downloads\COA_List.xlsx" TargetMode="External"/><Relationship Id="rId1" Type="http://schemas.openxmlformats.org/officeDocument/2006/relationships/externalLinkPath" Target="file:///C:\Users\nguye\Downloads\COA_Li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guye\Downloads\COA_Rate.xlsx" TargetMode="External"/><Relationship Id="rId1" Type="http://schemas.openxmlformats.org/officeDocument/2006/relationships/externalLinkPath" Target="file:///C:\Users\nguye\Downloads\COA_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F3">
            <v>250</v>
          </cell>
          <cell r="H3">
            <v>0.01</v>
          </cell>
        </row>
        <row r="4">
          <cell r="F4">
            <v>250</v>
          </cell>
          <cell r="H4">
            <v>0.01</v>
          </cell>
        </row>
        <row r="5">
          <cell r="F5">
            <v>330</v>
          </cell>
        </row>
        <row r="7">
          <cell r="F7">
            <v>460</v>
          </cell>
          <cell r="H7">
            <v>6.0000000000000001E-3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6">
          <cell r="E26">
            <v>450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ên Huỳnh" refreshedDate="46078.993670370372" createdVersion="8" refreshedVersion="8" minRefreshableVersion="3" recordCount="969" xr:uid="{98A59023-FFC2-4DF7-BFD1-67BF67397E67}">
  <cacheSource type="worksheet">
    <worksheetSource ref="A1:E970" sheet="Oil Price History"/>
  </cacheSource>
  <cacheFields count="8">
    <cacheField name="Date" numFmtId="14">
      <sharedItems containsSemiMixedTypes="0" containsNonDate="0" containsDate="1" containsString="0" minDate="2007-08-03T00:00:00" maxDate="2026-02-17T00:00:00"/>
    </cacheField>
    <cacheField name="Rotterdam Fuel Oil VLSFO 0.5% Sulfur - Futures" numFmtId="0">
      <sharedItems containsString="0" containsBlank="1" containsNumber="1" minValue="180.04" maxValue="868.75"/>
    </cacheField>
    <cacheField name="Brent Crude Oil Futures" numFmtId="0">
      <sharedItems containsSemiMixedTypes="0" containsString="0" containsNumber="1" minValue="21.44" maxValue="146.08000000000001"/>
    </cacheField>
    <cacheField name="Month" numFmtId="14">
      <sharedItems containsSemiMixedTypes="0" containsNonDate="0" containsDate="1" containsString="0" minDate="2007-08-31T00:00:00" maxDate="2026-03-01T00:00:00" count="223">
        <d v="2007-08-31T00:00:00"/>
        <d v="2007-09-30T00:00:00"/>
        <d v="2007-10-31T00:00:00"/>
        <d v="2007-11-30T00:00:00"/>
        <d v="2007-12-31T00:00:00"/>
        <d v="2008-01-31T00:00:00"/>
        <d v="2008-02-29T00:00:00"/>
        <d v="2008-03-31T00:00:00"/>
        <d v="2008-04-30T00:00:00"/>
        <d v="2008-05-31T00:00:00"/>
        <d v="2008-06-30T00:00:00"/>
        <d v="2008-07-31T00:00:00"/>
        <d v="2008-08-31T00:00:00"/>
        <d v="2008-09-30T00:00:00"/>
        <d v="2008-10-31T00:00:00"/>
        <d v="2008-11-30T00:00:00"/>
        <d v="2008-12-31T00:00:00"/>
        <d v="2009-01-31T00:00:00"/>
        <d v="2009-02-28T00:00:00"/>
        <d v="2009-03-31T00:00:00"/>
        <d v="2009-04-30T00:00:00"/>
        <d v="2009-05-31T00:00:00"/>
        <d v="2009-06-30T00:00:00"/>
        <d v="2009-07-31T00:00:00"/>
        <d v="2009-08-31T00:00:00"/>
        <d v="2009-09-30T00:00:00"/>
        <d v="2009-10-31T00:00:00"/>
        <d v="2009-11-30T00:00:00"/>
        <d v="2009-12-31T00:00:00"/>
        <d v="2010-01-31T00:00:00"/>
        <d v="2010-02-28T00:00:00"/>
        <d v="2010-03-31T00:00:00"/>
        <d v="2010-04-30T00:00:00"/>
        <d v="2010-05-31T00:00:00"/>
        <d v="2010-06-30T00:00:00"/>
        <d v="2010-07-31T00:00:00"/>
        <d v="2010-08-31T00:00:00"/>
        <d v="2010-09-30T00:00:00"/>
        <d v="2010-10-31T00:00:00"/>
        <d v="2010-11-30T00:00:00"/>
        <d v="2010-12-31T00:00:00"/>
        <d v="2011-01-31T00:00:00"/>
        <d v="2011-02-28T00:00:00"/>
        <d v="2011-03-31T00:00:00"/>
        <d v="2011-04-30T00:00:00"/>
        <d v="2011-05-31T00:00:00"/>
        <d v="2011-06-30T00:00:00"/>
        <d v="2011-07-31T00:00:00"/>
        <d v="2011-08-31T00:00:00"/>
        <d v="2011-09-30T00:00:00"/>
        <d v="2011-10-31T00:00:00"/>
        <d v="2011-11-30T00:00:00"/>
        <d v="2011-12-31T00:00:00"/>
        <d v="2012-01-31T00:00:00"/>
        <d v="2012-02-29T00:00:00"/>
        <d v="2012-03-31T00:00:00"/>
        <d v="2012-04-30T00:00:00"/>
        <d v="2012-05-31T00:00:00"/>
        <d v="2012-06-30T00:00:00"/>
        <d v="2012-07-31T00:00:00"/>
        <d v="2012-08-31T00:00:00"/>
        <d v="2012-09-30T00:00:00"/>
        <d v="2012-10-31T00:00:00"/>
        <d v="2012-11-30T00:00:00"/>
        <d v="2012-12-31T00:00:00"/>
        <d v="2013-01-31T00:00:00"/>
        <d v="2013-02-28T00:00:00"/>
        <d v="2013-03-31T00:00:00"/>
        <d v="2013-04-30T00:00:00"/>
        <d v="2013-05-31T00:00:00"/>
        <d v="2013-06-30T00:00:00"/>
        <d v="2013-07-31T00:00:00"/>
        <d v="2013-08-31T00:00:00"/>
        <d v="2013-09-30T00:00:00"/>
        <d v="2013-10-31T00:00:00"/>
        <d v="2013-11-30T00:00:00"/>
        <d v="2013-12-31T00:00:00"/>
        <d v="2014-01-31T00:00:00"/>
        <d v="2014-02-28T00:00:00"/>
        <d v="2014-03-31T00:00:00"/>
        <d v="2014-04-30T00:00:00"/>
        <d v="2014-05-31T00:00:00"/>
        <d v="2014-06-30T00:00:00"/>
        <d v="2014-07-31T00:00:00"/>
        <d v="2014-08-31T00:00:00"/>
        <d v="2014-09-30T00:00:00"/>
        <d v="2014-10-31T00:00:00"/>
        <d v="2014-11-30T00:00:00"/>
        <d v="2014-12-31T00:00:00"/>
        <d v="2015-01-31T00:00:00"/>
        <d v="2015-02-28T00:00:00"/>
        <d v="2015-03-31T00:00:00"/>
        <d v="2015-04-30T00:00:00"/>
        <d v="2015-05-31T00:00:00"/>
        <d v="2015-06-30T00:00:00"/>
        <d v="2015-07-31T00:00:00"/>
        <d v="2015-08-31T00:00:00"/>
        <d v="2015-09-30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</sharedItems>
      <fieldGroup par="7"/>
    </cacheField>
    <cacheField name="Correlation" numFmtId="0">
      <sharedItems containsString="0" containsBlank="1" containsNumber="1" minValue="0.96847594567019613" maxValue="0.96847594567019613"/>
    </cacheField>
    <cacheField name="Months (Month)" numFmtId="0" databaseField="0">
      <fieldGroup base="3">
        <rangePr groupBy="months" startDate="2007-08-31T00:00:00" endDate="2026-03-01T00:00:00"/>
        <groupItems count="14">
          <s v="&lt;8/31/200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/2026"/>
        </groupItems>
      </fieldGroup>
    </cacheField>
    <cacheField name="Quarters (Month)" numFmtId="0" databaseField="0">
      <fieldGroup base="3">
        <rangePr groupBy="quarters" startDate="2007-08-31T00:00:00" endDate="2026-03-01T00:00:00"/>
        <groupItems count="6">
          <s v="&lt;8/31/2007"/>
          <s v="Qtr1"/>
          <s v="Qtr2"/>
          <s v="Qtr3"/>
          <s v="Qtr4"/>
          <s v="&gt;3/1/2026"/>
        </groupItems>
      </fieldGroup>
    </cacheField>
    <cacheField name="Years (Month)" numFmtId="0" databaseField="0">
      <fieldGroup base="3">
        <rangePr groupBy="years" startDate="2007-08-31T00:00:00" endDate="2026-03-01T00:00:00"/>
        <groupItems count="22">
          <s v="&lt;8/31/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3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9">
  <r>
    <d v="2007-08-03T00:00:00"/>
    <m/>
    <n v="74.75"/>
    <x v="0"/>
    <n v="0.96847594567019613"/>
  </r>
  <r>
    <d v="2007-08-10T00:00:00"/>
    <m/>
    <n v="70.39"/>
    <x v="0"/>
    <m/>
  </r>
  <r>
    <d v="2007-08-17T00:00:00"/>
    <m/>
    <n v="70.44"/>
    <x v="0"/>
    <m/>
  </r>
  <r>
    <d v="2007-08-24T00:00:00"/>
    <m/>
    <n v="70.62"/>
    <x v="0"/>
    <m/>
  </r>
  <r>
    <d v="2007-08-31T00:00:00"/>
    <m/>
    <n v="72.69"/>
    <x v="0"/>
    <m/>
  </r>
  <r>
    <d v="2007-09-07T00:00:00"/>
    <m/>
    <n v="75.069999999999993"/>
    <x v="1"/>
    <m/>
  </r>
  <r>
    <d v="2007-09-14T00:00:00"/>
    <m/>
    <n v="76.22"/>
    <x v="1"/>
    <m/>
  </r>
  <r>
    <d v="2007-09-21T00:00:00"/>
    <m/>
    <n v="79.3"/>
    <x v="1"/>
    <m/>
  </r>
  <r>
    <d v="2007-09-28T00:00:00"/>
    <m/>
    <n v="79.17"/>
    <x v="1"/>
    <m/>
  </r>
  <r>
    <d v="2007-10-05T00:00:00"/>
    <m/>
    <n v="78.900000000000006"/>
    <x v="2"/>
    <m/>
  </r>
  <r>
    <d v="2007-10-12T00:00:00"/>
    <m/>
    <n v="80.55"/>
    <x v="2"/>
    <m/>
  </r>
  <r>
    <d v="2007-10-19T00:00:00"/>
    <m/>
    <n v="83.79"/>
    <x v="2"/>
    <m/>
  </r>
  <r>
    <d v="2007-10-26T00:00:00"/>
    <m/>
    <n v="88.69"/>
    <x v="2"/>
    <m/>
  </r>
  <r>
    <d v="2007-11-02T00:00:00"/>
    <m/>
    <n v="92.08"/>
    <x v="3"/>
    <m/>
  </r>
  <r>
    <d v="2007-11-09T00:00:00"/>
    <m/>
    <n v="93.18"/>
    <x v="3"/>
    <m/>
  </r>
  <r>
    <d v="2007-11-16T00:00:00"/>
    <m/>
    <n v="91.62"/>
    <x v="3"/>
    <m/>
  </r>
  <r>
    <d v="2007-11-23T00:00:00"/>
    <m/>
    <n v="95.76"/>
    <x v="3"/>
    <m/>
  </r>
  <r>
    <d v="2007-11-30T00:00:00"/>
    <m/>
    <n v="88.26"/>
    <x v="3"/>
    <m/>
  </r>
  <r>
    <d v="2007-12-07T00:00:00"/>
    <m/>
    <n v="88.64"/>
    <x v="4"/>
    <m/>
  </r>
  <r>
    <d v="2007-12-14T00:00:00"/>
    <m/>
    <n v="92.67"/>
    <x v="4"/>
    <m/>
  </r>
  <r>
    <d v="2007-12-21T00:00:00"/>
    <m/>
    <n v="92.46"/>
    <x v="4"/>
    <m/>
  </r>
  <r>
    <d v="2007-12-28T00:00:00"/>
    <m/>
    <n v="93.88"/>
    <x v="4"/>
    <m/>
  </r>
  <r>
    <d v="2008-01-04T00:00:00"/>
    <m/>
    <n v="96.79"/>
    <x v="5"/>
    <m/>
  </r>
  <r>
    <d v="2008-01-11T00:00:00"/>
    <m/>
    <n v="91.07"/>
    <x v="5"/>
    <m/>
  </r>
  <r>
    <d v="2008-01-18T00:00:00"/>
    <m/>
    <n v="89.23"/>
    <x v="5"/>
    <m/>
  </r>
  <r>
    <d v="2008-01-25T00:00:00"/>
    <m/>
    <n v="90.9"/>
    <x v="5"/>
    <m/>
  </r>
  <r>
    <d v="2008-02-01T00:00:00"/>
    <m/>
    <n v="89.44"/>
    <x v="6"/>
    <m/>
  </r>
  <r>
    <d v="2008-02-08T00:00:00"/>
    <m/>
    <n v="91.94"/>
    <x v="6"/>
    <m/>
  </r>
  <r>
    <d v="2008-02-15T00:00:00"/>
    <m/>
    <n v="94.63"/>
    <x v="6"/>
    <m/>
  </r>
  <r>
    <d v="2008-02-22T00:00:00"/>
    <m/>
    <n v="97.01"/>
    <x v="6"/>
    <m/>
  </r>
  <r>
    <d v="2008-02-29T00:00:00"/>
    <m/>
    <n v="100.1"/>
    <x v="6"/>
    <m/>
  </r>
  <r>
    <d v="2008-03-07T00:00:00"/>
    <m/>
    <n v="102.38"/>
    <x v="7"/>
    <m/>
  </r>
  <r>
    <d v="2008-03-14T00:00:00"/>
    <m/>
    <n v="107.55"/>
    <x v="7"/>
    <m/>
  </r>
  <r>
    <d v="2008-03-21T00:00:00"/>
    <m/>
    <n v="100.38"/>
    <x v="7"/>
    <m/>
  </r>
  <r>
    <d v="2008-03-28T00:00:00"/>
    <m/>
    <n v="103.77"/>
    <x v="7"/>
    <m/>
  </r>
  <r>
    <d v="2008-04-04T00:00:00"/>
    <m/>
    <n v="104.9"/>
    <x v="8"/>
    <m/>
  </r>
  <r>
    <d v="2008-04-11T00:00:00"/>
    <m/>
    <n v="108.75"/>
    <x v="8"/>
    <m/>
  </r>
  <r>
    <d v="2008-04-18T00:00:00"/>
    <m/>
    <n v="113.92"/>
    <x v="8"/>
    <m/>
  </r>
  <r>
    <d v="2008-04-25T00:00:00"/>
    <m/>
    <n v="116.34"/>
    <x v="8"/>
    <m/>
  </r>
  <r>
    <d v="2008-05-02T00:00:00"/>
    <m/>
    <n v="114.56"/>
    <x v="9"/>
    <m/>
  </r>
  <r>
    <d v="2008-05-09T00:00:00"/>
    <m/>
    <n v="125.4"/>
    <x v="9"/>
    <m/>
  </r>
  <r>
    <d v="2008-05-16T00:00:00"/>
    <m/>
    <n v="124.99"/>
    <x v="9"/>
    <m/>
  </r>
  <r>
    <d v="2008-05-23T00:00:00"/>
    <m/>
    <n v="131.57"/>
    <x v="9"/>
    <m/>
  </r>
  <r>
    <d v="2008-05-30T00:00:00"/>
    <m/>
    <n v="127.78"/>
    <x v="9"/>
    <m/>
  </r>
  <r>
    <d v="2008-06-06T00:00:00"/>
    <m/>
    <n v="137.69"/>
    <x v="10"/>
    <m/>
  </r>
  <r>
    <d v="2008-06-13T00:00:00"/>
    <m/>
    <n v="134.25"/>
    <x v="10"/>
    <m/>
  </r>
  <r>
    <d v="2008-06-20T00:00:00"/>
    <m/>
    <n v="134.86000000000001"/>
    <x v="10"/>
    <m/>
  </r>
  <r>
    <d v="2008-06-27T00:00:00"/>
    <m/>
    <n v="140.31"/>
    <x v="10"/>
    <m/>
  </r>
  <r>
    <d v="2008-07-04T00:00:00"/>
    <m/>
    <n v="146.08000000000001"/>
    <x v="11"/>
    <m/>
  </r>
  <r>
    <d v="2008-07-11T00:00:00"/>
    <m/>
    <n v="144.49"/>
    <x v="11"/>
    <m/>
  </r>
  <r>
    <d v="2008-07-18T00:00:00"/>
    <m/>
    <n v="130.19"/>
    <x v="11"/>
    <m/>
  </r>
  <r>
    <d v="2008-07-25T00:00:00"/>
    <m/>
    <n v="124.52"/>
    <x v="11"/>
    <m/>
  </r>
  <r>
    <d v="2008-08-01T00:00:00"/>
    <m/>
    <n v="124.18"/>
    <x v="12"/>
    <m/>
  </r>
  <r>
    <d v="2008-08-08T00:00:00"/>
    <m/>
    <n v="113.33"/>
    <x v="12"/>
    <m/>
  </r>
  <r>
    <d v="2008-08-15T00:00:00"/>
    <m/>
    <n v="112.55"/>
    <x v="12"/>
    <m/>
  </r>
  <r>
    <d v="2008-08-22T00:00:00"/>
    <m/>
    <n v="113.92"/>
    <x v="12"/>
    <m/>
  </r>
  <r>
    <d v="2008-08-29T00:00:00"/>
    <m/>
    <n v="114.05"/>
    <x v="12"/>
    <m/>
  </r>
  <r>
    <d v="2008-09-05T00:00:00"/>
    <m/>
    <n v="104.09"/>
    <x v="13"/>
    <m/>
  </r>
  <r>
    <d v="2008-09-12T00:00:00"/>
    <m/>
    <n v="97.58"/>
    <x v="13"/>
    <m/>
  </r>
  <r>
    <d v="2008-09-19T00:00:00"/>
    <m/>
    <n v="99.61"/>
    <x v="13"/>
    <m/>
  </r>
  <r>
    <d v="2008-09-26T00:00:00"/>
    <m/>
    <n v="103.54"/>
    <x v="13"/>
    <m/>
  </r>
  <r>
    <d v="2008-10-03T00:00:00"/>
    <m/>
    <n v="90.25"/>
    <x v="14"/>
    <m/>
  </r>
  <r>
    <d v="2008-10-10T00:00:00"/>
    <m/>
    <n v="74.09"/>
    <x v="14"/>
    <m/>
  </r>
  <r>
    <d v="2008-10-17T00:00:00"/>
    <m/>
    <n v="69.599999999999994"/>
    <x v="14"/>
    <m/>
  </r>
  <r>
    <d v="2008-10-24T00:00:00"/>
    <m/>
    <n v="62.05"/>
    <x v="14"/>
    <m/>
  </r>
  <r>
    <d v="2008-10-31T00:00:00"/>
    <m/>
    <n v="65.319999999999993"/>
    <x v="14"/>
    <m/>
  </r>
  <r>
    <d v="2008-11-07T00:00:00"/>
    <m/>
    <n v="57.35"/>
    <x v="15"/>
    <m/>
  </r>
  <r>
    <d v="2008-11-14T00:00:00"/>
    <m/>
    <n v="54.24"/>
    <x v="15"/>
    <m/>
  </r>
  <r>
    <d v="2008-11-21T00:00:00"/>
    <m/>
    <n v="49.19"/>
    <x v="15"/>
    <m/>
  </r>
  <r>
    <d v="2008-11-28T00:00:00"/>
    <m/>
    <n v="53.49"/>
    <x v="15"/>
    <m/>
  </r>
  <r>
    <d v="2008-12-05T00:00:00"/>
    <m/>
    <n v="39.74"/>
    <x v="16"/>
    <m/>
  </r>
  <r>
    <d v="2008-12-12T00:00:00"/>
    <m/>
    <n v="46.41"/>
    <x v="16"/>
    <m/>
  </r>
  <r>
    <d v="2008-12-19T00:00:00"/>
    <m/>
    <n v="44"/>
    <x v="16"/>
    <m/>
  </r>
  <r>
    <d v="2008-12-26T00:00:00"/>
    <m/>
    <n v="38.369999999999997"/>
    <x v="16"/>
    <m/>
  </r>
  <r>
    <d v="2009-01-02T00:00:00"/>
    <m/>
    <n v="46.91"/>
    <x v="17"/>
    <m/>
  </r>
  <r>
    <d v="2009-01-09T00:00:00"/>
    <m/>
    <n v="44.42"/>
    <x v="17"/>
    <m/>
  </r>
  <r>
    <d v="2009-01-16T00:00:00"/>
    <m/>
    <n v="46.57"/>
    <x v="17"/>
    <m/>
  </r>
  <r>
    <d v="2009-01-23T00:00:00"/>
    <m/>
    <n v="48.37"/>
    <x v="17"/>
    <m/>
  </r>
  <r>
    <d v="2009-01-30T00:00:00"/>
    <m/>
    <n v="45.88"/>
    <x v="17"/>
    <m/>
  </r>
  <r>
    <d v="2009-02-06T00:00:00"/>
    <m/>
    <n v="46.21"/>
    <x v="18"/>
    <m/>
  </r>
  <r>
    <d v="2009-02-13T00:00:00"/>
    <m/>
    <n v="44.81"/>
    <x v="18"/>
    <m/>
  </r>
  <r>
    <d v="2009-02-20T00:00:00"/>
    <m/>
    <n v="41.89"/>
    <x v="18"/>
    <m/>
  </r>
  <r>
    <d v="2009-02-27T00:00:00"/>
    <m/>
    <n v="46.35"/>
    <x v="18"/>
    <m/>
  </r>
  <r>
    <d v="2009-03-06T00:00:00"/>
    <m/>
    <n v="44.85"/>
    <x v="19"/>
    <m/>
  </r>
  <r>
    <d v="2009-03-13T00:00:00"/>
    <m/>
    <n v="44.93"/>
    <x v="19"/>
    <m/>
  </r>
  <r>
    <d v="2009-03-20T00:00:00"/>
    <m/>
    <n v="51.22"/>
    <x v="19"/>
    <m/>
  </r>
  <r>
    <d v="2009-03-27T00:00:00"/>
    <m/>
    <n v="51.98"/>
    <x v="19"/>
    <m/>
  </r>
  <r>
    <d v="2009-04-03T00:00:00"/>
    <m/>
    <n v="53.47"/>
    <x v="20"/>
    <m/>
  </r>
  <r>
    <d v="2009-04-10T00:00:00"/>
    <m/>
    <n v="54.06"/>
    <x v="20"/>
    <m/>
  </r>
  <r>
    <d v="2009-04-17T00:00:00"/>
    <m/>
    <n v="53.35"/>
    <x v="20"/>
    <m/>
  </r>
  <r>
    <d v="2009-04-24T00:00:00"/>
    <m/>
    <n v="51.67"/>
    <x v="20"/>
    <m/>
  </r>
  <r>
    <d v="2009-05-01T00:00:00"/>
    <m/>
    <n v="52.85"/>
    <x v="21"/>
    <m/>
  </r>
  <r>
    <d v="2009-05-08T00:00:00"/>
    <m/>
    <n v="58.14"/>
    <x v="21"/>
    <m/>
  </r>
  <r>
    <d v="2009-05-15T00:00:00"/>
    <m/>
    <n v="55.98"/>
    <x v="21"/>
    <m/>
  </r>
  <r>
    <d v="2009-05-22T00:00:00"/>
    <m/>
    <n v="60.78"/>
    <x v="21"/>
    <m/>
  </r>
  <r>
    <d v="2009-05-29T00:00:00"/>
    <m/>
    <n v="65.52"/>
    <x v="21"/>
    <m/>
  </r>
  <r>
    <d v="2009-06-05T00:00:00"/>
    <m/>
    <n v="68.34"/>
    <x v="22"/>
    <m/>
  </r>
  <r>
    <d v="2009-06-12T00:00:00"/>
    <m/>
    <n v="70.92"/>
    <x v="22"/>
    <m/>
  </r>
  <r>
    <d v="2009-06-19T00:00:00"/>
    <m/>
    <n v="69.19"/>
    <x v="22"/>
    <m/>
  </r>
  <r>
    <d v="2009-06-26T00:00:00"/>
    <m/>
    <n v="68.92"/>
    <x v="22"/>
    <m/>
  </r>
  <r>
    <d v="2009-07-03T00:00:00"/>
    <m/>
    <n v="66.650000000000006"/>
    <x v="23"/>
    <m/>
  </r>
  <r>
    <d v="2009-07-10T00:00:00"/>
    <m/>
    <n v="60.52"/>
    <x v="23"/>
    <m/>
  </r>
  <r>
    <d v="2009-07-17T00:00:00"/>
    <m/>
    <n v="65.38"/>
    <x v="23"/>
    <m/>
  </r>
  <r>
    <d v="2009-07-24T00:00:00"/>
    <m/>
    <n v="70.319999999999993"/>
    <x v="23"/>
    <m/>
  </r>
  <r>
    <d v="2009-07-31T00:00:00"/>
    <m/>
    <n v="71.7"/>
    <x v="23"/>
    <m/>
  </r>
  <r>
    <d v="2009-08-07T00:00:00"/>
    <m/>
    <n v="73.59"/>
    <x v="24"/>
    <m/>
  </r>
  <r>
    <d v="2009-08-14T00:00:00"/>
    <m/>
    <n v="72.41"/>
    <x v="24"/>
    <m/>
  </r>
  <r>
    <d v="2009-08-21T00:00:00"/>
    <m/>
    <n v="74.19"/>
    <x v="24"/>
    <m/>
  </r>
  <r>
    <d v="2009-08-28T00:00:00"/>
    <m/>
    <n v="72.790000000000006"/>
    <x v="24"/>
    <m/>
  </r>
  <r>
    <d v="2009-09-04T00:00:00"/>
    <m/>
    <n v="66.819999999999993"/>
    <x v="25"/>
    <m/>
  </r>
  <r>
    <d v="2009-09-11T00:00:00"/>
    <m/>
    <n v="67.69"/>
    <x v="25"/>
    <m/>
  </r>
  <r>
    <d v="2009-09-18T00:00:00"/>
    <m/>
    <n v="71.319999999999993"/>
    <x v="25"/>
    <m/>
  </r>
  <r>
    <d v="2009-09-25T00:00:00"/>
    <m/>
    <n v="65.11"/>
    <x v="25"/>
    <m/>
  </r>
  <r>
    <d v="2009-10-02T00:00:00"/>
    <m/>
    <n v="68.069999999999993"/>
    <x v="26"/>
    <m/>
  </r>
  <r>
    <d v="2009-10-09T00:00:00"/>
    <m/>
    <n v="70"/>
    <x v="26"/>
    <m/>
  </r>
  <r>
    <d v="2009-10-16T00:00:00"/>
    <m/>
    <n v="76.989999999999995"/>
    <x v="26"/>
    <m/>
  </r>
  <r>
    <d v="2009-10-23T00:00:00"/>
    <m/>
    <n v="78.92"/>
    <x v="26"/>
    <m/>
  </r>
  <r>
    <d v="2009-10-30T00:00:00"/>
    <m/>
    <n v="75.2"/>
    <x v="26"/>
    <m/>
  </r>
  <r>
    <d v="2009-11-06T00:00:00"/>
    <m/>
    <n v="75.87"/>
    <x v="27"/>
    <m/>
  </r>
  <r>
    <d v="2009-11-13T00:00:00"/>
    <m/>
    <n v="75.55"/>
    <x v="27"/>
    <m/>
  </r>
  <r>
    <d v="2009-11-20T00:00:00"/>
    <m/>
    <n v="77.2"/>
    <x v="27"/>
    <m/>
  </r>
  <r>
    <d v="2009-11-27T00:00:00"/>
    <m/>
    <n v="77.180000000000007"/>
    <x v="27"/>
    <m/>
  </r>
  <r>
    <d v="2009-12-04T00:00:00"/>
    <m/>
    <n v="77.52"/>
    <x v="28"/>
    <m/>
  </r>
  <r>
    <d v="2009-12-11T00:00:00"/>
    <m/>
    <n v="71.88"/>
    <x v="28"/>
    <m/>
  </r>
  <r>
    <d v="2009-12-18T00:00:00"/>
    <m/>
    <n v="73.75"/>
    <x v="28"/>
    <m/>
  </r>
  <r>
    <d v="2009-12-25T00:00:00"/>
    <m/>
    <n v="75.45"/>
    <x v="28"/>
    <m/>
  </r>
  <r>
    <d v="2010-01-01T00:00:00"/>
    <m/>
    <n v="78.03"/>
    <x v="29"/>
    <m/>
  </r>
  <r>
    <d v="2010-01-08T00:00:00"/>
    <m/>
    <n v="81.37"/>
    <x v="29"/>
    <m/>
  </r>
  <r>
    <d v="2010-01-15T00:00:00"/>
    <m/>
    <n v="77.11"/>
    <x v="29"/>
    <m/>
  </r>
  <r>
    <d v="2010-01-22T00:00:00"/>
    <m/>
    <n v="72.83"/>
    <x v="29"/>
    <m/>
  </r>
  <r>
    <d v="2010-01-29T00:00:00"/>
    <m/>
    <n v="71.459999999999994"/>
    <x v="29"/>
    <m/>
  </r>
  <r>
    <d v="2010-02-05T00:00:00"/>
    <m/>
    <n v="69.59"/>
    <x v="30"/>
    <m/>
  </r>
  <r>
    <d v="2010-02-12T00:00:00"/>
    <m/>
    <n v="72.900000000000006"/>
    <x v="30"/>
    <m/>
  </r>
  <r>
    <d v="2010-02-19T00:00:00"/>
    <m/>
    <n v="78.19"/>
    <x v="30"/>
    <m/>
  </r>
  <r>
    <d v="2010-02-26T00:00:00"/>
    <m/>
    <n v="77.59"/>
    <x v="30"/>
    <m/>
  </r>
  <r>
    <d v="2010-03-05T00:00:00"/>
    <m/>
    <n v="79.89"/>
    <x v="31"/>
    <m/>
  </r>
  <r>
    <d v="2010-03-12T00:00:00"/>
    <m/>
    <n v="79.39"/>
    <x v="31"/>
    <m/>
  </r>
  <r>
    <d v="2010-03-19T00:00:00"/>
    <m/>
    <n v="79.88"/>
    <x v="31"/>
    <m/>
  </r>
  <r>
    <d v="2010-03-26T00:00:00"/>
    <m/>
    <n v="79.290000000000006"/>
    <x v="31"/>
    <m/>
  </r>
  <r>
    <d v="2010-04-02T00:00:00"/>
    <m/>
    <n v="84.01"/>
    <x v="32"/>
    <m/>
  </r>
  <r>
    <d v="2010-04-09T00:00:00"/>
    <m/>
    <n v="84.83"/>
    <x v="32"/>
    <m/>
  </r>
  <r>
    <d v="2010-04-16T00:00:00"/>
    <m/>
    <n v="85.99"/>
    <x v="32"/>
    <m/>
  </r>
  <r>
    <d v="2010-04-23T00:00:00"/>
    <m/>
    <n v="87.25"/>
    <x v="32"/>
    <m/>
  </r>
  <r>
    <d v="2010-04-30T00:00:00"/>
    <m/>
    <n v="87.44"/>
    <x v="32"/>
    <m/>
  </r>
  <r>
    <d v="2010-05-07T00:00:00"/>
    <m/>
    <n v="78.27"/>
    <x v="33"/>
    <m/>
  </r>
  <r>
    <d v="2010-05-14T00:00:00"/>
    <m/>
    <n v="80.11"/>
    <x v="33"/>
    <m/>
  </r>
  <r>
    <d v="2010-05-21T00:00:00"/>
    <m/>
    <n v="71.680000000000007"/>
    <x v="33"/>
    <m/>
  </r>
  <r>
    <d v="2010-05-28T00:00:00"/>
    <m/>
    <n v="74.02"/>
    <x v="33"/>
    <m/>
  </r>
  <r>
    <d v="2010-06-04T00:00:00"/>
    <m/>
    <n v="72.09"/>
    <x v="34"/>
    <m/>
  </r>
  <r>
    <d v="2010-06-11T00:00:00"/>
    <m/>
    <n v="74.349999999999994"/>
    <x v="34"/>
    <m/>
  </r>
  <r>
    <d v="2010-06-18T00:00:00"/>
    <m/>
    <n v="78.22"/>
    <x v="34"/>
    <m/>
  </r>
  <r>
    <d v="2010-06-25T00:00:00"/>
    <m/>
    <n v="78.12"/>
    <x v="34"/>
    <m/>
  </r>
  <r>
    <d v="2010-07-02T00:00:00"/>
    <m/>
    <n v="71.650000000000006"/>
    <x v="35"/>
    <m/>
  </r>
  <r>
    <d v="2010-07-09T00:00:00"/>
    <m/>
    <n v="75.42"/>
    <x v="35"/>
    <m/>
  </r>
  <r>
    <d v="2010-07-16T00:00:00"/>
    <m/>
    <n v="75.37"/>
    <x v="35"/>
    <m/>
  </r>
  <r>
    <d v="2010-07-23T00:00:00"/>
    <m/>
    <n v="77.45"/>
    <x v="35"/>
    <m/>
  </r>
  <r>
    <d v="2010-07-30T00:00:00"/>
    <m/>
    <n v="78.180000000000007"/>
    <x v="35"/>
    <m/>
  </r>
  <r>
    <d v="2010-08-06T00:00:00"/>
    <m/>
    <n v="80.16"/>
    <x v="36"/>
    <m/>
  </r>
  <r>
    <d v="2010-08-13T00:00:00"/>
    <m/>
    <n v="75.11"/>
    <x v="36"/>
    <m/>
  </r>
  <r>
    <d v="2010-08-20T00:00:00"/>
    <m/>
    <n v="74.260000000000005"/>
    <x v="36"/>
    <m/>
  </r>
  <r>
    <d v="2010-08-27T00:00:00"/>
    <m/>
    <n v="76.650000000000006"/>
    <x v="36"/>
    <m/>
  </r>
  <r>
    <d v="2010-09-03T00:00:00"/>
    <m/>
    <n v="76.67"/>
    <x v="37"/>
    <m/>
  </r>
  <r>
    <d v="2010-09-10T00:00:00"/>
    <m/>
    <n v="78.16"/>
    <x v="37"/>
    <m/>
  </r>
  <r>
    <d v="2010-09-17T00:00:00"/>
    <m/>
    <n v="78.209999999999994"/>
    <x v="37"/>
    <m/>
  </r>
  <r>
    <d v="2010-09-24T00:00:00"/>
    <m/>
    <n v="78.87"/>
    <x v="37"/>
    <m/>
  </r>
  <r>
    <d v="2010-10-01T00:00:00"/>
    <m/>
    <n v="83.75"/>
    <x v="38"/>
    <m/>
  </r>
  <r>
    <d v="2010-10-08T00:00:00"/>
    <m/>
    <n v="84.03"/>
    <x v="38"/>
    <m/>
  </r>
  <r>
    <d v="2010-10-15T00:00:00"/>
    <m/>
    <n v="82.45"/>
    <x v="38"/>
    <m/>
  </r>
  <r>
    <d v="2010-10-22T00:00:00"/>
    <m/>
    <n v="82.96"/>
    <x v="38"/>
    <m/>
  </r>
  <r>
    <d v="2010-10-29T00:00:00"/>
    <m/>
    <n v="83.15"/>
    <x v="38"/>
    <m/>
  </r>
  <r>
    <d v="2010-11-05T00:00:00"/>
    <m/>
    <n v="88.11"/>
    <x v="39"/>
    <m/>
  </r>
  <r>
    <d v="2010-11-12T00:00:00"/>
    <m/>
    <n v="86.34"/>
    <x v="39"/>
    <m/>
  </r>
  <r>
    <d v="2010-11-19T00:00:00"/>
    <m/>
    <n v="84.34"/>
    <x v="39"/>
    <m/>
  </r>
  <r>
    <d v="2010-11-26T00:00:00"/>
    <m/>
    <n v="85.58"/>
    <x v="39"/>
    <m/>
  </r>
  <r>
    <d v="2010-12-03T00:00:00"/>
    <m/>
    <n v="91.42"/>
    <x v="40"/>
    <m/>
  </r>
  <r>
    <d v="2010-12-10T00:00:00"/>
    <m/>
    <n v="90.48"/>
    <x v="40"/>
    <m/>
  </r>
  <r>
    <d v="2010-12-17T00:00:00"/>
    <m/>
    <n v="91.67"/>
    <x v="40"/>
    <m/>
  </r>
  <r>
    <d v="2010-12-24T00:00:00"/>
    <m/>
    <n v="94.25"/>
    <x v="40"/>
    <m/>
  </r>
  <r>
    <d v="2010-12-31T00:00:00"/>
    <m/>
    <n v="94.75"/>
    <x v="40"/>
    <m/>
  </r>
  <r>
    <d v="2011-01-07T00:00:00"/>
    <m/>
    <n v="93.33"/>
    <x v="41"/>
    <m/>
  </r>
  <r>
    <d v="2011-01-14T00:00:00"/>
    <m/>
    <n v="98.06"/>
    <x v="41"/>
    <m/>
  </r>
  <r>
    <d v="2011-01-21T00:00:00"/>
    <m/>
    <n v="97.6"/>
    <x v="41"/>
    <m/>
  </r>
  <r>
    <d v="2011-01-28T00:00:00"/>
    <m/>
    <n v="99.42"/>
    <x v="41"/>
    <m/>
  </r>
  <r>
    <d v="2011-02-04T00:00:00"/>
    <m/>
    <n v="99.83"/>
    <x v="42"/>
    <m/>
  </r>
  <r>
    <d v="2011-02-11T00:00:00"/>
    <m/>
    <n v="101.05"/>
    <x v="42"/>
    <m/>
  </r>
  <r>
    <d v="2011-02-18T00:00:00"/>
    <m/>
    <n v="102.52"/>
    <x v="42"/>
    <m/>
  </r>
  <r>
    <d v="2011-02-25T00:00:00"/>
    <m/>
    <n v="112.14"/>
    <x v="42"/>
    <m/>
  </r>
  <r>
    <d v="2011-03-04T00:00:00"/>
    <m/>
    <n v="115.97"/>
    <x v="43"/>
    <m/>
  </r>
  <r>
    <d v="2011-03-11T00:00:00"/>
    <m/>
    <n v="113.84"/>
    <x v="43"/>
    <m/>
  </r>
  <r>
    <d v="2011-03-18T00:00:00"/>
    <m/>
    <n v="113.93"/>
    <x v="43"/>
    <m/>
  </r>
  <r>
    <d v="2011-03-25T00:00:00"/>
    <m/>
    <n v="115.59"/>
    <x v="43"/>
    <m/>
  </r>
  <r>
    <d v="2011-04-01T00:00:00"/>
    <m/>
    <n v="118.7"/>
    <x v="44"/>
    <m/>
  </r>
  <r>
    <d v="2011-04-08T00:00:00"/>
    <m/>
    <n v="126.65"/>
    <x v="44"/>
    <m/>
  </r>
  <r>
    <d v="2011-04-15T00:00:00"/>
    <m/>
    <n v="123.45"/>
    <x v="44"/>
    <m/>
  </r>
  <r>
    <d v="2011-04-22T00:00:00"/>
    <m/>
    <n v="123.99"/>
    <x v="44"/>
    <m/>
  </r>
  <r>
    <d v="2011-04-29T00:00:00"/>
    <m/>
    <n v="125.89"/>
    <x v="44"/>
    <m/>
  </r>
  <r>
    <d v="2011-05-06T00:00:00"/>
    <m/>
    <n v="109.13"/>
    <x v="45"/>
    <m/>
  </r>
  <r>
    <d v="2011-05-13T00:00:00"/>
    <m/>
    <n v="113.83"/>
    <x v="45"/>
    <m/>
  </r>
  <r>
    <d v="2011-05-20T00:00:00"/>
    <m/>
    <n v="112.39"/>
    <x v="45"/>
    <m/>
  </r>
  <r>
    <d v="2011-05-27T00:00:00"/>
    <m/>
    <n v="115.03"/>
    <x v="45"/>
    <m/>
  </r>
  <r>
    <d v="2011-06-03T00:00:00"/>
    <m/>
    <n v="115.84"/>
    <x v="46"/>
    <m/>
  </r>
  <r>
    <d v="2011-06-10T00:00:00"/>
    <m/>
    <n v="118.78"/>
    <x v="46"/>
    <m/>
  </r>
  <r>
    <d v="2011-06-17T00:00:00"/>
    <m/>
    <n v="113.21"/>
    <x v="46"/>
    <m/>
  </r>
  <r>
    <d v="2011-06-24T00:00:00"/>
    <m/>
    <n v="105.12"/>
    <x v="46"/>
    <m/>
  </r>
  <r>
    <d v="2011-07-01T00:00:00"/>
    <m/>
    <n v="111.77"/>
    <x v="47"/>
    <m/>
  </r>
  <r>
    <d v="2011-07-08T00:00:00"/>
    <m/>
    <n v="118.33"/>
    <x v="47"/>
    <m/>
  </r>
  <r>
    <d v="2011-07-15T00:00:00"/>
    <m/>
    <n v="117.26"/>
    <x v="47"/>
    <m/>
  </r>
  <r>
    <d v="2011-07-22T00:00:00"/>
    <m/>
    <n v="118.67"/>
    <x v="47"/>
    <m/>
  </r>
  <r>
    <d v="2011-07-29T00:00:00"/>
    <m/>
    <n v="116.74"/>
    <x v="47"/>
    <m/>
  </r>
  <r>
    <d v="2011-08-05T00:00:00"/>
    <m/>
    <n v="109.37"/>
    <x v="48"/>
    <m/>
  </r>
  <r>
    <d v="2011-08-12T00:00:00"/>
    <m/>
    <n v="108.03"/>
    <x v="48"/>
    <m/>
  </r>
  <r>
    <d v="2011-08-19T00:00:00"/>
    <m/>
    <n v="108.62"/>
    <x v="48"/>
    <m/>
  </r>
  <r>
    <d v="2011-08-26T00:00:00"/>
    <m/>
    <n v="111.36"/>
    <x v="48"/>
    <m/>
  </r>
  <r>
    <d v="2011-09-02T00:00:00"/>
    <m/>
    <n v="112.33"/>
    <x v="49"/>
    <m/>
  </r>
  <r>
    <d v="2011-09-09T00:00:00"/>
    <m/>
    <n v="112.77"/>
    <x v="49"/>
    <m/>
  </r>
  <r>
    <d v="2011-09-16T00:00:00"/>
    <m/>
    <n v="112.22"/>
    <x v="49"/>
    <m/>
  </r>
  <r>
    <d v="2011-09-23T00:00:00"/>
    <m/>
    <n v="103.97"/>
    <x v="49"/>
    <m/>
  </r>
  <r>
    <d v="2011-09-30T00:00:00"/>
    <m/>
    <n v="102.76"/>
    <x v="49"/>
    <m/>
  </r>
  <r>
    <d v="2011-10-07T00:00:00"/>
    <m/>
    <n v="105.88"/>
    <x v="50"/>
    <m/>
  </r>
  <r>
    <d v="2011-10-14T00:00:00"/>
    <m/>
    <n v="114.68"/>
    <x v="50"/>
    <m/>
  </r>
  <r>
    <d v="2011-10-21T00:00:00"/>
    <m/>
    <n v="109.56"/>
    <x v="50"/>
    <m/>
  </r>
  <r>
    <d v="2011-10-28T00:00:00"/>
    <m/>
    <n v="109.91"/>
    <x v="50"/>
    <m/>
  </r>
  <r>
    <d v="2011-11-04T00:00:00"/>
    <m/>
    <n v="111.97"/>
    <x v="51"/>
    <m/>
  </r>
  <r>
    <d v="2011-11-11T00:00:00"/>
    <m/>
    <n v="114.16"/>
    <x v="51"/>
    <m/>
  </r>
  <r>
    <d v="2011-11-18T00:00:00"/>
    <m/>
    <n v="107.56"/>
    <x v="51"/>
    <m/>
  </r>
  <r>
    <d v="2011-11-25T00:00:00"/>
    <m/>
    <n v="106.4"/>
    <x v="51"/>
    <m/>
  </r>
  <r>
    <d v="2011-12-02T00:00:00"/>
    <m/>
    <n v="109.94"/>
    <x v="52"/>
    <m/>
  </r>
  <r>
    <d v="2011-12-09T00:00:00"/>
    <m/>
    <n v="108.62"/>
    <x v="52"/>
    <m/>
  </r>
  <r>
    <d v="2011-12-16T00:00:00"/>
    <m/>
    <n v="103.35"/>
    <x v="52"/>
    <m/>
  </r>
  <r>
    <d v="2011-12-23T00:00:00"/>
    <m/>
    <n v="107.96"/>
    <x v="52"/>
    <m/>
  </r>
  <r>
    <d v="2011-12-30T00:00:00"/>
    <m/>
    <n v="107.38"/>
    <x v="52"/>
    <m/>
  </r>
  <r>
    <d v="2012-01-06T00:00:00"/>
    <m/>
    <n v="113.06"/>
    <x v="53"/>
    <m/>
  </r>
  <r>
    <d v="2012-01-13T00:00:00"/>
    <m/>
    <n v="110.44"/>
    <x v="53"/>
    <m/>
  </r>
  <r>
    <d v="2012-01-20T00:00:00"/>
    <m/>
    <n v="109.86"/>
    <x v="53"/>
    <m/>
  </r>
  <r>
    <d v="2012-01-27T00:00:00"/>
    <m/>
    <n v="111.46"/>
    <x v="53"/>
    <m/>
  </r>
  <r>
    <d v="2012-02-03T00:00:00"/>
    <m/>
    <n v="114.58"/>
    <x v="54"/>
    <m/>
  </r>
  <r>
    <d v="2012-02-10T00:00:00"/>
    <m/>
    <n v="117.31"/>
    <x v="54"/>
    <m/>
  </r>
  <r>
    <d v="2012-02-17T00:00:00"/>
    <m/>
    <n v="119.58"/>
    <x v="54"/>
    <m/>
  </r>
  <r>
    <d v="2012-02-24T00:00:00"/>
    <m/>
    <n v="125.47"/>
    <x v="54"/>
    <m/>
  </r>
  <r>
    <d v="2012-03-02T00:00:00"/>
    <m/>
    <n v="123.65"/>
    <x v="55"/>
    <m/>
  </r>
  <r>
    <d v="2012-03-09T00:00:00"/>
    <m/>
    <n v="125.98"/>
    <x v="55"/>
    <m/>
  </r>
  <r>
    <d v="2012-03-16T00:00:00"/>
    <m/>
    <n v="125.81"/>
    <x v="55"/>
    <m/>
  </r>
  <r>
    <d v="2012-03-23T00:00:00"/>
    <m/>
    <n v="125.13"/>
    <x v="55"/>
    <m/>
  </r>
  <r>
    <d v="2012-03-30T00:00:00"/>
    <m/>
    <n v="122.88"/>
    <x v="55"/>
    <m/>
  </r>
  <r>
    <d v="2012-04-06T00:00:00"/>
    <m/>
    <n v="123.43"/>
    <x v="56"/>
    <m/>
  </r>
  <r>
    <d v="2012-04-13T00:00:00"/>
    <m/>
    <n v="121.83"/>
    <x v="56"/>
    <m/>
  </r>
  <r>
    <d v="2012-04-20T00:00:00"/>
    <m/>
    <n v="118.76"/>
    <x v="56"/>
    <m/>
  </r>
  <r>
    <d v="2012-04-27T00:00:00"/>
    <m/>
    <n v="119.83"/>
    <x v="56"/>
    <m/>
  </r>
  <r>
    <d v="2012-05-04T00:00:00"/>
    <m/>
    <n v="113.18"/>
    <x v="57"/>
    <m/>
  </r>
  <r>
    <d v="2012-05-11T00:00:00"/>
    <m/>
    <n v="112.26"/>
    <x v="57"/>
    <m/>
  </r>
  <r>
    <d v="2012-05-18T00:00:00"/>
    <m/>
    <n v="107.14"/>
    <x v="57"/>
    <m/>
  </r>
  <r>
    <d v="2012-05-25T00:00:00"/>
    <m/>
    <n v="106.83"/>
    <x v="57"/>
    <m/>
  </r>
  <r>
    <d v="2012-06-01T00:00:00"/>
    <m/>
    <n v="98.43"/>
    <x v="58"/>
    <m/>
  </r>
  <r>
    <d v="2012-06-08T00:00:00"/>
    <m/>
    <n v="99.47"/>
    <x v="58"/>
    <m/>
  </r>
  <r>
    <d v="2012-06-15T00:00:00"/>
    <m/>
    <n v="97.61"/>
    <x v="58"/>
    <m/>
  </r>
  <r>
    <d v="2012-06-22T00:00:00"/>
    <m/>
    <n v="90.98"/>
    <x v="58"/>
    <m/>
  </r>
  <r>
    <d v="2012-06-29T00:00:00"/>
    <m/>
    <n v="97.8"/>
    <x v="58"/>
    <m/>
  </r>
  <r>
    <d v="2012-07-06T00:00:00"/>
    <m/>
    <n v="98.19"/>
    <x v="59"/>
    <m/>
  </r>
  <r>
    <d v="2012-07-13T00:00:00"/>
    <m/>
    <n v="102.4"/>
    <x v="59"/>
    <m/>
  </r>
  <r>
    <d v="2012-07-20T00:00:00"/>
    <m/>
    <n v="106.83"/>
    <x v="59"/>
    <m/>
  </r>
  <r>
    <d v="2012-07-27T00:00:00"/>
    <m/>
    <n v="106.47"/>
    <x v="59"/>
    <m/>
  </r>
  <r>
    <d v="2012-08-03T00:00:00"/>
    <m/>
    <n v="108.94"/>
    <x v="60"/>
    <m/>
  </r>
  <r>
    <d v="2012-08-10T00:00:00"/>
    <m/>
    <n v="112.95"/>
    <x v="60"/>
    <m/>
  </r>
  <r>
    <d v="2012-08-17T00:00:00"/>
    <m/>
    <n v="113.71"/>
    <x v="60"/>
    <m/>
  </r>
  <r>
    <d v="2012-08-24T00:00:00"/>
    <m/>
    <n v="113.59"/>
    <x v="60"/>
    <m/>
  </r>
  <r>
    <d v="2012-08-31T00:00:00"/>
    <m/>
    <n v="114.57"/>
    <x v="60"/>
    <m/>
  </r>
  <r>
    <d v="2012-09-07T00:00:00"/>
    <m/>
    <n v="114.25"/>
    <x v="61"/>
    <m/>
  </r>
  <r>
    <d v="2012-09-14T00:00:00"/>
    <m/>
    <n v="116.66"/>
    <x v="61"/>
    <m/>
  </r>
  <r>
    <d v="2012-09-21T00:00:00"/>
    <m/>
    <n v="111.42"/>
    <x v="61"/>
    <m/>
  </r>
  <r>
    <d v="2012-09-28T00:00:00"/>
    <m/>
    <n v="112.39"/>
    <x v="61"/>
    <m/>
  </r>
  <r>
    <d v="2012-10-05T00:00:00"/>
    <m/>
    <n v="112.02"/>
    <x v="62"/>
    <m/>
  </r>
  <r>
    <d v="2012-10-12T00:00:00"/>
    <m/>
    <n v="114.62"/>
    <x v="62"/>
    <m/>
  </r>
  <r>
    <d v="2012-10-19T00:00:00"/>
    <m/>
    <n v="110.14"/>
    <x v="62"/>
    <m/>
  </r>
  <r>
    <d v="2012-10-26T00:00:00"/>
    <m/>
    <n v="109.55"/>
    <x v="62"/>
    <m/>
  </r>
  <r>
    <d v="2012-11-02T00:00:00"/>
    <m/>
    <n v="105.68"/>
    <x v="63"/>
    <m/>
  </r>
  <r>
    <d v="2012-11-09T00:00:00"/>
    <m/>
    <n v="109.4"/>
    <x v="63"/>
    <m/>
  </r>
  <r>
    <d v="2012-11-16T00:00:00"/>
    <m/>
    <n v="108.95"/>
    <x v="63"/>
    <m/>
  </r>
  <r>
    <d v="2012-11-23T00:00:00"/>
    <m/>
    <n v="111.38"/>
    <x v="63"/>
    <m/>
  </r>
  <r>
    <d v="2012-11-30T00:00:00"/>
    <m/>
    <n v="111.23"/>
    <x v="63"/>
    <m/>
  </r>
  <r>
    <d v="2012-12-07T00:00:00"/>
    <m/>
    <n v="107.02"/>
    <x v="64"/>
    <m/>
  </r>
  <r>
    <d v="2012-12-14T00:00:00"/>
    <m/>
    <n v="109.15"/>
    <x v="64"/>
    <m/>
  </r>
  <r>
    <d v="2012-12-21T00:00:00"/>
    <m/>
    <n v="108.97"/>
    <x v="64"/>
    <m/>
  </r>
  <r>
    <d v="2012-12-28T00:00:00"/>
    <m/>
    <n v="110.62"/>
    <x v="64"/>
    <m/>
  </r>
  <r>
    <d v="2013-01-04T00:00:00"/>
    <m/>
    <n v="111.31"/>
    <x v="65"/>
    <m/>
  </r>
  <r>
    <d v="2013-01-11T00:00:00"/>
    <m/>
    <n v="110.64"/>
    <x v="65"/>
    <m/>
  </r>
  <r>
    <d v="2013-01-18T00:00:00"/>
    <m/>
    <n v="111.89"/>
    <x v="65"/>
    <m/>
  </r>
  <r>
    <d v="2013-01-25T00:00:00"/>
    <m/>
    <n v="113.28"/>
    <x v="65"/>
    <m/>
  </r>
  <r>
    <d v="2013-02-01T00:00:00"/>
    <m/>
    <n v="116.76"/>
    <x v="66"/>
    <m/>
  </r>
  <r>
    <d v="2013-02-08T00:00:00"/>
    <m/>
    <n v="118.9"/>
    <x v="66"/>
    <m/>
  </r>
  <r>
    <d v="2013-02-15T00:00:00"/>
    <m/>
    <n v="117.66"/>
    <x v="66"/>
    <m/>
  </r>
  <r>
    <d v="2013-02-22T00:00:00"/>
    <m/>
    <n v="114.1"/>
    <x v="66"/>
    <m/>
  </r>
  <r>
    <d v="2013-03-01T00:00:00"/>
    <m/>
    <n v="110.4"/>
    <x v="67"/>
    <m/>
  </r>
  <r>
    <d v="2013-03-08T00:00:00"/>
    <m/>
    <n v="110.85"/>
    <x v="67"/>
    <m/>
  </r>
  <r>
    <d v="2013-03-15T00:00:00"/>
    <m/>
    <n v="109.82"/>
    <x v="67"/>
    <m/>
  </r>
  <r>
    <d v="2013-03-22T00:00:00"/>
    <m/>
    <n v="107.66"/>
    <x v="67"/>
    <m/>
  </r>
  <r>
    <d v="2013-03-29T00:00:00"/>
    <m/>
    <n v="110.02"/>
    <x v="67"/>
    <m/>
  </r>
  <r>
    <d v="2013-04-05T00:00:00"/>
    <m/>
    <n v="104.12"/>
    <x v="68"/>
    <m/>
  </r>
  <r>
    <d v="2013-04-12T00:00:00"/>
    <m/>
    <n v="103.11"/>
    <x v="68"/>
    <m/>
  </r>
  <r>
    <d v="2013-04-19T00:00:00"/>
    <m/>
    <n v="99.65"/>
    <x v="68"/>
    <m/>
  </r>
  <r>
    <d v="2013-04-26T00:00:00"/>
    <m/>
    <n v="103.16"/>
    <x v="68"/>
    <m/>
  </r>
  <r>
    <d v="2013-05-03T00:00:00"/>
    <m/>
    <n v="104.19"/>
    <x v="69"/>
    <m/>
  </r>
  <r>
    <d v="2013-05-10T00:00:00"/>
    <m/>
    <n v="103.91"/>
    <x v="69"/>
    <m/>
  </r>
  <r>
    <d v="2013-05-17T00:00:00"/>
    <m/>
    <n v="104.64"/>
    <x v="69"/>
    <m/>
  </r>
  <r>
    <d v="2013-05-24T00:00:00"/>
    <m/>
    <n v="102.64"/>
    <x v="69"/>
    <m/>
  </r>
  <r>
    <d v="2013-05-31T00:00:00"/>
    <m/>
    <n v="100.39"/>
    <x v="69"/>
    <m/>
  </r>
  <r>
    <d v="2013-06-07T00:00:00"/>
    <m/>
    <n v="104.56"/>
    <x v="70"/>
    <m/>
  </r>
  <r>
    <d v="2013-06-14T00:00:00"/>
    <m/>
    <n v="105.93"/>
    <x v="70"/>
    <m/>
  </r>
  <r>
    <d v="2013-06-21T00:00:00"/>
    <m/>
    <n v="100.91"/>
    <x v="70"/>
    <m/>
  </r>
  <r>
    <d v="2013-06-28T00:00:00"/>
    <m/>
    <n v="102.16"/>
    <x v="70"/>
    <m/>
  </r>
  <r>
    <d v="2013-07-05T00:00:00"/>
    <m/>
    <n v="107.72"/>
    <x v="71"/>
    <m/>
  </r>
  <r>
    <d v="2013-07-12T00:00:00"/>
    <m/>
    <n v="108.81"/>
    <x v="71"/>
    <m/>
  </r>
  <r>
    <d v="2013-07-19T00:00:00"/>
    <m/>
    <n v="108.07"/>
    <x v="71"/>
    <m/>
  </r>
  <r>
    <d v="2013-07-26T00:00:00"/>
    <m/>
    <n v="107.17"/>
    <x v="71"/>
    <m/>
  </r>
  <r>
    <d v="2013-08-02T00:00:00"/>
    <m/>
    <n v="108.95"/>
    <x v="72"/>
    <m/>
  </r>
  <r>
    <d v="2013-08-09T00:00:00"/>
    <m/>
    <n v="108.22"/>
    <x v="72"/>
    <m/>
  </r>
  <r>
    <d v="2013-08-16T00:00:00"/>
    <m/>
    <n v="110.4"/>
    <x v="72"/>
    <m/>
  </r>
  <r>
    <d v="2013-08-23T00:00:00"/>
    <m/>
    <n v="111.04"/>
    <x v="72"/>
    <m/>
  </r>
  <r>
    <d v="2013-08-30T00:00:00"/>
    <m/>
    <n v="114.01"/>
    <x v="72"/>
    <m/>
  </r>
  <r>
    <d v="2013-09-06T00:00:00"/>
    <m/>
    <n v="116.12"/>
    <x v="73"/>
    <m/>
  </r>
  <r>
    <d v="2013-09-13T00:00:00"/>
    <m/>
    <n v="112.78"/>
    <x v="73"/>
    <m/>
  </r>
  <r>
    <d v="2013-09-20T00:00:00"/>
    <m/>
    <n v="109.22"/>
    <x v="73"/>
    <m/>
  </r>
  <r>
    <d v="2013-09-27T00:00:00"/>
    <m/>
    <n v="108.63"/>
    <x v="73"/>
    <m/>
  </r>
  <r>
    <d v="2013-10-04T00:00:00"/>
    <m/>
    <n v="109.46"/>
    <x v="74"/>
    <m/>
  </r>
  <r>
    <d v="2013-10-11T00:00:00"/>
    <m/>
    <n v="111.28"/>
    <x v="74"/>
    <m/>
  </r>
  <r>
    <d v="2013-10-18T00:00:00"/>
    <m/>
    <n v="109.94"/>
    <x v="74"/>
    <m/>
  </r>
  <r>
    <d v="2013-10-25T00:00:00"/>
    <m/>
    <n v="106.93"/>
    <x v="74"/>
    <m/>
  </r>
  <r>
    <d v="2013-11-01T00:00:00"/>
    <m/>
    <n v="105.91"/>
    <x v="75"/>
    <m/>
  </r>
  <r>
    <d v="2013-11-08T00:00:00"/>
    <m/>
    <n v="105.12"/>
    <x v="75"/>
    <m/>
  </r>
  <r>
    <d v="2013-11-15T00:00:00"/>
    <m/>
    <n v="108.5"/>
    <x v="75"/>
    <m/>
  </r>
  <r>
    <d v="2013-11-22T00:00:00"/>
    <m/>
    <n v="111.05"/>
    <x v="75"/>
    <m/>
  </r>
  <r>
    <d v="2013-11-29T00:00:00"/>
    <m/>
    <n v="109.69"/>
    <x v="75"/>
    <m/>
  </r>
  <r>
    <d v="2013-12-06T00:00:00"/>
    <m/>
    <n v="111.61"/>
    <x v="76"/>
    <m/>
  </r>
  <r>
    <d v="2013-12-13T00:00:00"/>
    <m/>
    <n v="108.83"/>
    <x v="76"/>
    <m/>
  </r>
  <r>
    <d v="2013-12-20T00:00:00"/>
    <m/>
    <n v="111.77"/>
    <x v="76"/>
    <m/>
  </r>
  <r>
    <d v="2013-12-27T00:00:00"/>
    <m/>
    <n v="112.18"/>
    <x v="76"/>
    <m/>
  </r>
  <r>
    <d v="2014-01-03T00:00:00"/>
    <m/>
    <n v="106.89"/>
    <x v="77"/>
    <m/>
  </r>
  <r>
    <d v="2014-01-10T00:00:00"/>
    <m/>
    <n v="107.25"/>
    <x v="77"/>
    <m/>
  </r>
  <r>
    <d v="2014-01-17T00:00:00"/>
    <m/>
    <n v="106.48"/>
    <x v="77"/>
    <m/>
  </r>
  <r>
    <d v="2014-01-24T00:00:00"/>
    <m/>
    <n v="107.88"/>
    <x v="77"/>
    <m/>
  </r>
  <r>
    <d v="2014-01-31T00:00:00"/>
    <m/>
    <n v="106.4"/>
    <x v="77"/>
    <m/>
  </r>
  <r>
    <d v="2014-02-07T00:00:00"/>
    <m/>
    <n v="109.57"/>
    <x v="78"/>
    <m/>
  </r>
  <r>
    <d v="2014-02-14T00:00:00"/>
    <m/>
    <n v="109.08"/>
    <x v="78"/>
    <m/>
  </r>
  <r>
    <d v="2014-02-21T00:00:00"/>
    <m/>
    <n v="109.85"/>
    <x v="78"/>
    <m/>
  </r>
  <r>
    <d v="2014-02-28T00:00:00"/>
    <m/>
    <n v="109.07"/>
    <x v="78"/>
    <m/>
  </r>
  <r>
    <d v="2014-03-07T00:00:00"/>
    <m/>
    <n v="109"/>
    <x v="79"/>
    <m/>
  </r>
  <r>
    <d v="2014-03-14T00:00:00"/>
    <m/>
    <n v="108.57"/>
    <x v="79"/>
    <m/>
  </r>
  <r>
    <d v="2014-03-21T00:00:00"/>
    <m/>
    <n v="106.92"/>
    <x v="79"/>
    <m/>
  </r>
  <r>
    <d v="2014-03-28T00:00:00"/>
    <m/>
    <n v="108.07"/>
    <x v="79"/>
    <m/>
  </r>
  <r>
    <d v="2014-04-04T00:00:00"/>
    <m/>
    <n v="106.72"/>
    <x v="80"/>
    <m/>
  </r>
  <r>
    <d v="2014-04-11T00:00:00"/>
    <m/>
    <n v="107.33"/>
    <x v="80"/>
    <m/>
  </r>
  <r>
    <d v="2014-04-18T00:00:00"/>
    <m/>
    <n v="109.53"/>
    <x v="80"/>
    <m/>
  </r>
  <r>
    <d v="2014-04-25T00:00:00"/>
    <m/>
    <n v="109.58"/>
    <x v="80"/>
    <m/>
  </r>
  <r>
    <d v="2014-05-02T00:00:00"/>
    <m/>
    <n v="108.59"/>
    <x v="81"/>
    <m/>
  </r>
  <r>
    <d v="2014-05-09T00:00:00"/>
    <m/>
    <n v="107.89"/>
    <x v="81"/>
    <m/>
  </r>
  <r>
    <d v="2014-05-16T00:00:00"/>
    <m/>
    <n v="109.75"/>
    <x v="81"/>
    <m/>
  </r>
  <r>
    <d v="2014-05-23T00:00:00"/>
    <m/>
    <n v="110.54"/>
    <x v="81"/>
    <m/>
  </r>
  <r>
    <d v="2014-05-30T00:00:00"/>
    <m/>
    <n v="109.41"/>
    <x v="81"/>
    <m/>
  </r>
  <r>
    <d v="2014-06-06T00:00:00"/>
    <m/>
    <n v="108.61"/>
    <x v="82"/>
    <m/>
  </r>
  <r>
    <d v="2014-06-13T00:00:00"/>
    <m/>
    <n v="113.41"/>
    <x v="82"/>
    <m/>
  </r>
  <r>
    <d v="2014-06-20T00:00:00"/>
    <m/>
    <n v="114.81"/>
    <x v="82"/>
    <m/>
  </r>
  <r>
    <d v="2014-06-27T00:00:00"/>
    <m/>
    <n v="113.3"/>
    <x v="82"/>
    <m/>
  </r>
  <r>
    <d v="2014-07-04T00:00:00"/>
    <m/>
    <n v="111"/>
    <x v="83"/>
    <m/>
  </r>
  <r>
    <d v="2014-07-11T00:00:00"/>
    <m/>
    <n v="106.66"/>
    <x v="83"/>
    <m/>
  </r>
  <r>
    <d v="2014-07-18T00:00:00"/>
    <m/>
    <n v="107.24"/>
    <x v="83"/>
    <m/>
  </r>
  <r>
    <d v="2014-07-25T00:00:00"/>
    <m/>
    <n v="108.39"/>
    <x v="83"/>
    <m/>
  </r>
  <r>
    <d v="2014-08-01T00:00:00"/>
    <m/>
    <n v="104.84"/>
    <x v="84"/>
    <m/>
  </r>
  <r>
    <d v="2014-08-08T00:00:00"/>
    <m/>
    <n v="105.02"/>
    <x v="84"/>
    <m/>
  </r>
  <r>
    <d v="2014-08-15T00:00:00"/>
    <m/>
    <n v="103.53"/>
    <x v="84"/>
    <m/>
  </r>
  <r>
    <d v="2014-08-22T00:00:00"/>
    <m/>
    <n v="102.29"/>
    <x v="84"/>
    <m/>
  </r>
  <r>
    <d v="2014-08-29T00:00:00"/>
    <m/>
    <n v="103.19"/>
    <x v="84"/>
    <m/>
  </r>
  <r>
    <d v="2014-09-05T00:00:00"/>
    <m/>
    <n v="100.82"/>
    <x v="85"/>
    <m/>
  </r>
  <r>
    <d v="2014-09-12T00:00:00"/>
    <m/>
    <n v="97.11"/>
    <x v="85"/>
    <m/>
  </r>
  <r>
    <d v="2014-09-19T00:00:00"/>
    <m/>
    <n v="98.39"/>
    <x v="85"/>
    <m/>
  </r>
  <r>
    <d v="2014-09-26T00:00:00"/>
    <m/>
    <n v="97"/>
    <x v="85"/>
    <m/>
  </r>
  <r>
    <d v="2014-10-03T00:00:00"/>
    <m/>
    <n v="92.31"/>
    <x v="86"/>
    <m/>
  </r>
  <r>
    <d v="2014-10-10T00:00:00"/>
    <m/>
    <n v="90.21"/>
    <x v="86"/>
    <m/>
  </r>
  <r>
    <d v="2014-10-17T00:00:00"/>
    <m/>
    <n v="86.16"/>
    <x v="86"/>
    <m/>
  </r>
  <r>
    <d v="2014-10-24T00:00:00"/>
    <m/>
    <n v="86.13"/>
    <x v="86"/>
    <m/>
  </r>
  <r>
    <d v="2014-10-31T00:00:00"/>
    <m/>
    <n v="85.86"/>
    <x v="86"/>
    <m/>
  </r>
  <r>
    <d v="2014-11-07T00:00:00"/>
    <m/>
    <n v="83.39"/>
    <x v="87"/>
    <m/>
  </r>
  <r>
    <d v="2014-11-14T00:00:00"/>
    <m/>
    <n v="79.41"/>
    <x v="87"/>
    <m/>
  </r>
  <r>
    <d v="2014-11-21T00:00:00"/>
    <m/>
    <n v="80.36"/>
    <x v="87"/>
    <m/>
  </r>
  <r>
    <d v="2014-11-28T00:00:00"/>
    <m/>
    <n v="70.150000000000006"/>
    <x v="87"/>
    <m/>
  </r>
  <r>
    <d v="2014-12-05T00:00:00"/>
    <m/>
    <n v="69.069999999999993"/>
    <x v="88"/>
    <m/>
  </r>
  <r>
    <d v="2014-12-12T00:00:00"/>
    <m/>
    <n v="61.85"/>
    <x v="88"/>
    <m/>
  </r>
  <r>
    <d v="2014-12-19T00:00:00"/>
    <m/>
    <n v="61.38"/>
    <x v="88"/>
    <m/>
  </r>
  <r>
    <d v="2014-12-26T00:00:00"/>
    <m/>
    <n v="59.45"/>
    <x v="88"/>
    <m/>
  </r>
  <r>
    <d v="2015-01-02T00:00:00"/>
    <m/>
    <n v="56.42"/>
    <x v="89"/>
    <m/>
  </r>
  <r>
    <d v="2015-01-09T00:00:00"/>
    <m/>
    <n v="50.11"/>
    <x v="89"/>
    <m/>
  </r>
  <r>
    <d v="2015-01-16T00:00:00"/>
    <m/>
    <n v="50.17"/>
    <x v="89"/>
    <m/>
  </r>
  <r>
    <d v="2015-01-23T00:00:00"/>
    <m/>
    <n v="48.79"/>
    <x v="89"/>
    <m/>
  </r>
  <r>
    <d v="2015-01-30T00:00:00"/>
    <m/>
    <n v="52.99"/>
    <x v="89"/>
    <m/>
  </r>
  <r>
    <d v="2015-02-06T00:00:00"/>
    <m/>
    <n v="57.8"/>
    <x v="90"/>
    <m/>
  </r>
  <r>
    <d v="2015-02-13T00:00:00"/>
    <m/>
    <n v="61.52"/>
    <x v="90"/>
    <m/>
  </r>
  <r>
    <d v="2015-02-20T00:00:00"/>
    <m/>
    <n v="60.22"/>
    <x v="90"/>
    <m/>
  </r>
  <r>
    <d v="2015-02-27T00:00:00"/>
    <m/>
    <n v="62.58"/>
    <x v="90"/>
    <m/>
  </r>
  <r>
    <d v="2015-03-06T00:00:00"/>
    <m/>
    <n v="59.73"/>
    <x v="91"/>
    <m/>
  </r>
  <r>
    <d v="2015-03-13T00:00:00"/>
    <m/>
    <n v="54.67"/>
    <x v="91"/>
    <m/>
  </r>
  <r>
    <d v="2015-03-20T00:00:00"/>
    <m/>
    <n v="55.32"/>
    <x v="91"/>
    <m/>
  </r>
  <r>
    <d v="2015-03-27T00:00:00"/>
    <m/>
    <n v="56.41"/>
    <x v="91"/>
    <m/>
  </r>
  <r>
    <d v="2015-04-03T00:00:00"/>
    <m/>
    <n v="54.95"/>
    <x v="92"/>
    <m/>
  </r>
  <r>
    <d v="2015-04-10T00:00:00"/>
    <m/>
    <n v="57.87"/>
    <x v="92"/>
    <m/>
  </r>
  <r>
    <d v="2015-04-17T00:00:00"/>
    <m/>
    <n v="63.45"/>
    <x v="92"/>
    <m/>
  </r>
  <r>
    <d v="2015-04-24T00:00:00"/>
    <m/>
    <n v="65.28"/>
    <x v="92"/>
    <m/>
  </r>
  <r>
    <d v="2015-05-01T00:00:00"/>
    <m/>
    <n v="66.459999999999994"/>
    <x v="93"/>
    <m/>
  </r>
  <r>
    <d v="2015-05-08T00:00:00"/>
    <m/>
    <n v="65.39"/>
    <x v="93"/>
    <m/>
  </r>
  <r>
    <d v="2015-05-15T00:00:00"/>
    <m/>
    <n v="66.81"/>
    <x v="93"/>
    <m/>
  </r>
  <r>
    <d v="2015-05-22T00:00:00"/>
    <m/>
    <n v="65.37"/>
    <x v="93"/>
    <m/>
  </r>
  <r>
    <d v="2015-05-29T00:00:00"/>
    <m/>
    <n v="65.56"/>
    <x v="93"/>
    <m/>
  </r>
  <r>
    <d v="2015-06-05T00:00:00"/>
    <m/>
    <n v="63.31"/>
    <x v="94"/>
    <m/>
  </r>
  <r>
    <d v="2015-06-12T00:00:00"/>
    <m/>
    <n v="63.87"/>
    <x v="94"/>
    <m/>
  </r>
  <r>
    <d v="2015-06-19T00:00:00"/>
    <m/>
    <n v="63.02"/>
    <x v="94"/>
    <m/>
  </r>
  <r>
    <d v="2015-06-26T00:00:00"/>
    <m/>
    <n v="63.26"/>
    <x v="94"/>
    <m/>
  </r>
  <r>
    <d v="2015-07-03T00:00:00"/>
    <m/>
    <n v="62.07"/>
    <x v="95"/>
    <m/>
  </r>
  <r>
    <d v="2015-07-10T00:00:00"/>
    <m/>
    <n v="58.73"/>
    <x v="95"/>
    <m/>
  </r>
  <r>
    <d v="2015-07-17T00:00:00"/>
    <m/>
    <n v="57.1"/>
    <x v="95"/>
    <m/>
  </r>
  <r>
    <d v="2015-07-24T00:00:00"/>
    <m/>
    <n v="54.62"/>
    <x v="95"/>
    <m/>
  </r>
  <r>
    <d v="2015-07-31T00:00:00"/>
    <m/>
    <n v="52.21"/>
    <x v="95"/>
    <m/>
  </r>
  <r>
    <d v="2015-08-07T00:00:00"/>
    <m/>
    <n v="48.61"/>
    <x v="96"/>
    <m/>
  </r>
  <r>
    <d v="2015-08-14T00:00:00"/>
    <m/>
    <n v="49.03"/>
    <x v="96"/>
    <m/>
  </r>
  <r>
    <d v="2015-08-21T00:00:00"/>
    <m/>
    <n v="45.46"/>
    <x v="96"/>
    <m/>
  </r>
  <r>
    <d v="2015-08-28T00:00:00"/>
    <m/>
    <n v="50.05"/>
    <x v="96"/>
    <m/>
  </r>
  <r>
    <d v="2015-09-04T00:00:00"/>
    <m/>
    <n v="49.61"/>
    <x v="97"/>
    <m/>
  </r>
  <r>
    <d v="2015-09-11T00:00:00"/>
    <m/>
    <n v="48.14"/>
    <x v="97"/>
    <m/>
  </r>
  <r>
    <d v="2015-09-18T00:00:00"/>
    <m/>
    <n v="47.47"/>
    <x v="97"/>
    <m/>
  </r>
  <r>
    <d v="2015-09-25T00:00:00"/>
    <m/>
    <n v="48.6"/>
    <x v="97"/>
    <m/>
  </r>
  <r>
    <d v="2015-10-02T00:00:00"/>
    <m/>
    <n v="48.13"/>
    <x v="98"/>
    <m/>
  </r>
  <r>
    <d v="2015-10-09T00:00:00"/>
    <m/>
    <n v="52.65"/>
    <x v="98"/>
    <m/>
  </r>
  <r>
    <d v="2015-10-16T00:00:00"/>
    <m/>
    <n v="50.46"/>
    <x v="98"/>
    <m/>
  </r>
  <r>
    <d v="2015-10-23T00:00:00"/>
    <m/>
    <n v="47.99"/>
    <x v="98"/>
    <m/>
  </r>
  <r>
    <d v="2015-10-30T00:00:00"/>
    <m/>
    <n v="49.56"/>
    <x v="98"/>
    <m/>
  </r>
  <r>
    <d v="2015-11-06T00:00:00"/>
    <m/>
    <n v="47.42"/>
    <x v="99"/>
    <m/>
  </r>
  <r>
    <d v="2015-11-13T00:00:00"/>
    <m/>
    <n v="43.61"/>
    <x v="99"/>
    <m/>
  </r>
  <r>
    <d v="2015-11-20T00:00:00"/>
    <m/>
    <n v="44.66"/>
    <x v="99"/>
    <m/>
  </r>
  <r>
    <d v="2015-11-27T00:00:00"/>
    <m/>
    <n v="44.86"/>
    <x v="99"/>
    <m/>
  </r>
  <r>
    <d v="2015-12-04T00:00:00"/>
    <m/>
    <n v="43"/>
    <x v="100"/>
    <m/>
  </r>
  <r>
    <d v="2015-12-11T00:00:00"/>
    <m/>
    <n v="37.93"/>
    <x v="100"/>
    <m/>
  </r>
  <r>
    <d v="2015-12-18T00:00:00"/>
    <m/>
    <n v="36.880000000000003"/>
    <x v="100"/>
    <m/>
  </r>
  <r>
    <d v="2015-12-25T00:00:00"/>
    <m/>
    <n v="37.89"/>
    <x v="100"/>
    <m/>
  </r>
  <r>
    <d v="2016-01-01T00:00:00"/>
    <m/>
    <n v="37.28"/>
    <x v="101"/>
    <m/>
  </r>
  <r>
    <d v="2016-01-08T00:00:00"/>
    <m/>
    <n v="33.549999999999997"/>
    <x v="101"/>
    <m/>
  </r>
  <r>
    <d v="2016-01-15T00:00:00"/>
    <m/>
    <n v="28.94"/>
    <x v="101"/>
    <m/>
  </r>
  <r>
    <d v="2016-01-22T00:00:00"/>
    <m/>
    <n v="32.18"/>
    <x v="101"/>
    <m/>
  </r>
  <r>
    <d v="2016-01-29T00:00:00"/>
    <m/>
    <n v="34.74"/>
    <x v="101"/>
    <m/>
  </r>
  <r>
    <d v="2016-02-05T00:00:00"/>
    <m/>
    <n v="34.06"/>
    <x v="102"/>
    <m/>
  </r>
  <r>
    <d v="2016-02-12T00:00:00"/>
    <m/>
    <n v="33.36"/>
    <x v="102"/>
    <m/>
  </r>
  <r>
    <d v="2016-02-19T00:00:00"/>
    <m/>
    <n v="33.01"/>
    <x v="102"/>
    <m/>
  </r>
  <r>
    <d v="2016-02-26T00:00:00"/>
    <m/>
    <n v="35.1"/>
    <x v="102"/>
    <m/>
  </r>
  <r>
    <d v="2016-03-04T00:00:00"/>
    <m/>
    <n v="38.72"/>
    <x v="103"/>
    <m/>
  </r>
  <r>
    <d v="2016-03-11T00:00:00"/>
    <m/>
    <n v="40.39"/>
    <x v="103"/>
    <m/>
  </r>
  <r>
    <d v="2016-03-18T00:00:00"/>
    <m/>
    <n v="41.2"/>
    <x v="103"/>
    <m/>
  </r>
  <r>
    <d v="2016-03-25T00:00:00"/>
    <m/>
    <n v="40.44"/>
    <x v="103"/>
    <m/>
  </r>
  <r>
    <d v="2016-04-01T00:00:00"/>
    <m/>
    <n v="38.67"/>
    <x v="104"/>
    <m/>
  </r>
  <r>
    <d v="2016-04-08T00:00:00"/>
    <m/>
    <n v="41.94"/>
    <x v="104"/>
    <m/>
  </r>
  <r>
    <d v="2016-04-15T00:00:00"/>
    <m/>
    <n v="43.1"/>
    <x v="104"/>
    <m/>
  </r>
  <r>
    <d v="2016-04-22T00:00:00"/>
    <m/>
    <n v="45.11"/>
    <x v="104"/>
    <m/>
  </r>
  <r>
    <d v="2016-04-29T00:00:00"/>
    <m/>
    <n v="48.13"/>
    <x v="104"/>
    <m/>
  </r>
  <r>
    <d v="2016-05-06T00:00:00"/>
    <m/>
    <n v="45.37"/>
    <x v="105"/>
    <m/>
  </r>
  <r>
    <d v="2016-05-13T00:00:00"/>
    <m/>
    <n v="47.83"/>
    <x v="105"/>
    <m/>
  </r>
  <r>
    <d v="2016-05-20T00:00:00"/>
    <m/>
    <n v="48.72"/>
    <x v="105"/>
    <m/>
  </r>
  <r>
    <d v="2016-05-27T00:00:00"/>
    <m/>
    <n v="49.32"/>
    <x v="105"/>
    <m/>
  </r>
  <r>
    <d v="2016-06-03T00:00:00"/>
    <m/>
    <n v="49.64"/>
    <x v="106"/>
    <m/>
  </r>
  <r>
    <d v="2016-06-10T00:00:00"/>
    <m/>
    <n v="50.54"/>
    <x v="106"/>
    <m/>
  </r>
  <r>
    <d v="2016-06-17T00:00:00"/>
    <m/>
    <n v="49.17"/>
    <x v="106"/>
    <m/>
  </r>
  <r>
    <d v="2016-06-24T00:00:00"/>
    <m/>
    <n v="48.41"/>
    <x v="106"/>
    <m/>
  </r>
  <r>
    <d v="2016-07-01T00:00:00"/>
    <m/>
    <n v="50.35"/>
    <x v="107"/>
    <m/>
  </r>
  <r>
    <d v="2016-07-08T00:00:00"/>
    <m/>
    <n v="46.76"/>
    <x v="107"/>
    <m/>
  </r>
  <r>
    <d v="2016-07-15T00:00:00"/>
    <m/>
    <n v="47.61"/>
    <x v="107"/>
    <m/>
  </r>
  <r>
    <d v="2016-07-22T00:00:00"/>
    <m/>
    <n v="45.69"/>
    <x v="107"/>
    <m/>
  </r>
  <r>
    <d v="2016-07-29T00:00:00"/>
    <m/>
    <n v="42.46"/>
    <x v="107"/>
    <m/>
  </r>
  <r>
    <d v="2016-08-05T00:00:00"/>
    <m/>
    <n v="44.27"/>
    <x v="108"/>
    <m/>
  </r>
  <r>
    <d v="2016-08-12T00:00:00"/>
    <m/>
    <n v="46.97"/>
    <x v="108"/>
    <m/>
  </r>
  <r>
    <d v="2016-08-19T00:00:00"/>
    <m/>
    <n v="50.88"/>
    <x v="108"/>
    <m/>
  </r>
  <r>
    <d v="2016-08-26T00:00:00"/>
    <m/>
    <n v="49.92"/>
    <x v="108"/>
    <m/>
  </r>
  <r>
    <d v="2016-09-02T00:00:00"/>
    <m/>
    <n v="46.83"/>
    <x v="109"/>
    <m/>
  </r>
  <r>
    <d v="2016-09-09T00:00:00"/>
    <m/>
    <n v="48.01"/>
    <x v="109"/>
    <m/>
  </r>
  <r>
    <d v="2016-09-16T00:00:00"/>
    <m/>
    <n v="45.77"/>
    <x v="109"/>
    <m/>
  </r>
  <r>
    <d v="2016-09-23T00:00:00"/>
    <m/>
    <n v="45.89"/>
    <x v="109"/>
    <m/>
  </r>
  <r>
    <d v="2016-09-30T00:00:00"/>
    <m/>
    <n v="49.06"/>
    <x v="109"/>
    <m/>
  </r>
  <r>
    <d v="2016-10-07T00:00:00"/>
    <m/>
    <n v="51.93"/>
    <x v="110"/>
    <m/>
  </r>
  <r>
    <d v="2016-10-14T00:00:00"/>
    <m/>
    <n v="51.95"/>
    <x v="110"/>
    <m/>
  </r>
  <r>
    <d v="2016-10-21T00:00:00"/>
    <m/>
    <n v="51.78"/>
    <x v="110"/>
    <m/>
  </r>
  <r>
    <d v="2016-10-28T00:00:00"/>
    <m/>
    <n v="49.71"/>
    <x v="110"/>
    <m/>
  </r>
  <r>
    <d v="2016-11-04T00:00:00"/>
    <m/>
    <n v="45.58"/>
    <x v="111"/>
    <m/>
  </r>
  <r>
    <d v="2016-11-11T00:00:00"/>
    <m/>
    <n v="44.75"/>
    <x v="111"/>
    <m/>
  </r>
  <r>
    <d v="2016-11-18T00:00:00"/>
    <m/>
    <n v="46.86"/>
    <x v="111"/>
    <m/>
  </r>
  <r>
    <d v="2016-11-25T00:00:00"/>
    <m/>
    <n v="47.24"/>
    <x v="111"/>
    <m/>
  </r>
  <r>
    <d v="2016-12-02T00:00:00"/>
    <m/>
    <n v="54.46"/>
    <x v="112"/>
    <m/>
  </r>
  <r>
    <d v="2016-12-09T00:00:00"/>
    <m/>
    <n v="54.33"/>
    <x v="112"/>
    <m/>
  </r>
  <r>
    <d v="2016-12-16T00:00:00"/>
    <m/>
    <n v="55.21"/>
    <x v="112"/>
    <m/>
  </r>
  <r>
    <d v="2016-12-23T00:00:00"/>
    <m/>
    <n v="55.16"/>
    <x v="112"/>
    <m/>
  </r>
  <r>
    <d v="2016-12-30T00:00:00"/>
    <m/>
    <n v="56.82"/>
    <x v="112"/>
    <m/>
  </r>
  <r>
    <d v="2017-01-06T00:00:00"/>
    <m/>
    <n v="57.1"/>
    <x v="113"/>
    <m/>
  </r>
  <r>
    <d v="2017-01-13T00:00:00"/>
    <m/>
    <n v="55.45"/>
    <x v="113"/>
    <m/>
  </r>
  <r>
    <d v="2017-01-20T00:00:00"/>
    <m/>
    <n v="55.49"/>
    <x v="113"/>
    <m/>
  </r>
  <r>
    <d v="2017-01-27T00:00:00"/>
    <m/>
    <n v="55.52"/>
    <x v="113"/>
    <m/>
  </r>
  <r>
    <d v="2017-02-03T00:00:00"/>
    <m/>
    <n v="56.81"/>
    <x v="114"/>
    <m/>
  </r>
  <r>
    <d v="2017-02-10T00:00:00"/>
    <m/>
    <n v="56.7"/>
    <x v="114"/>
    <m/>
  </r>
  <r>
    <d v="2017-02-17T00:00:00"/>
    <m/>
    <n v="55.81"/>
    <x v="114"/>
    <m/>
  </r>
  <r>
    <d v="2017-02-24T00:00:00"/>
    <m/>
    <n v="55.99"/>
    <x v="114"/>
    <m/>
  </r>
  <r>
    <d v="2017-03-03T00:00:00"/>
    <m/>
    <n v="55.9"/>
    <x v="115"/>
    <m/>
  </r>
  <r>
    <d v="2017-03-10T00:00:00"/>
    <m/>
    <n v="51.37"/>
    <x v="115"/>
    <m/>
  </r>
  <r>
    <d v="2017-03-17T00:00:00"/>
    <m/>
    <n v="51.76"/>
    <x v="115"/>
    <m/>
  </r>
  <r>
    <d v="2017-03-24T00:00:00"/>
    <m/>
    <n v="50.8"/>
    <x v="115"/>
    <m/>
  </r>
  <r>
    <d v="2017-03-31T00:00:00"/>
    <m/>
    <n v="52.83"/>
    <x v="115"/>
    <m/>
  </r>
  <r>
    <d v="2017-04-07T00:00:00"/>
    <m/>
    <n v="55.24"/>
    <x v="116"/>
    <m/>
  </r>
  <r>
    <d v="2017-04-14T00:00:00"/>
    <m/>
    <n v="55.89"/>
    <x v="116"/>
    <m/>
  </r>
  <r>
    <d v="2017-04-21T00:00:00"/>
    <m/>
    <n v="51.96"/>
    <x v="116"/>
    <m/>
  </r>
  <r>
    <d v="2017-04-28T00:00:00"/>
    <m/>
    <n v="51.73"/>
    <x v="116"/>
    <m/>
  </r>
  <r>
    <d v="2017-05-05T00:00:00"/>
    <m/>
    <n v="49.1"/>
    <x v="117"/>
    <m/>
  </r>
  <r>
    <d v="2017-05-12T00:00:00"/>
    <m/>
    <n v="50.84"/>
    <x v="117"/>
    <m/>
  </r>
  <r>
    <d v="2017-05-19T00:00:00"/>
    <m/>
    <n v="53.61"/>
    <x v="117"/>
    <m/>
  </r>
  <r>
    <d v="2017-05-26T00:00:00"/>
    <m/>
    <n v="52.15"/>
    <x v="117"/>
    <m/>
  </r>
  <r>
    <d v="2017-06-02T00:00:00"/>
    <m/>
    <n v="49.95"/>
    <x v="118"/>
    <m/>
  </r>
  <r>
    <d v="2017-06-09T00:00:00"/>
    <m/>
    <n v="48.15"/>
    <x v="118"/>
    <m/>
  </r>
  <r>
    <d v="2017-06-16T00:00:00"/>
    <m/>
    <n v="47.37"/>
    <x v="118"/>
    <m/>
  </r>
  <r>
    <d v="2017-06-23T00:00:00"/>
    <m/>
    <n v="45.54"/>
    <x v="118"/>
    <m/>
  </r>
  <r>
    <d v="2017-06-30T00:00:00"/>
    <m/>
    <n v="47.92"/>
    <x v="118"/>
    <m/>
  </r>
  <r>
    <d v="2017-07-07T00:00:00"/>
    <m/>
    <n v="46.71"/>
    <x v="119"/>
    <m/>
  </r>
  <r>
    <d v="2017-07-14T00:00:00"/>
    <m/>
    <n v="48.91"/>
    <x v="119"/>
    <m/>
  </r>
  <r>
    <d v="2017-07-21T00:00:00"/>
    <m/>
    <n v="48.06"/>
    <x v="119"/>
    <m/>
  </r>
  <r>
    <d v="2017-07-28T00:00:00"/>
    <m/>
    <n v="52.52"/>
    <x v="119"/>
    <m/>
  </r>
  <r>
    <d v="2017-08-04T00:00:00"/>
    <m/>
    <n v="52.42"/>
    <x v="120"/>
    <m/>
  </r>
  <r>
    <d v="2017-08-11T00:00:00"/>
    <m/>
    <n v="52.1"/>
    <x v="120"/>
    <m/>
  </r>
  <r>
    <d v="2017-08-18T00:00:00"/>
    <m/>
    <n v="52.72"/>
    <x v="120"/>
    <m/>
  </r>
  <r>
    <d v="2017-08-25T00:00:00"/>
    <m/>
    <n v="52.41"/>
    <x v="120"/>
    <m/>
  </r>
  <r>
    <d v="2017-09-01T00:00:00"/>
    <m/>
    <n v="52.75"/>
    <x v="121"/>
    <m/>
  </r>
  <r>
    <d v="2017-09-08T00:00:00"/>
    <m/>
    <n v="53.78"/>
    <x v="121"/>
    <m/>
  </r>
  <r>
    <d v="2017-09-15T00:00:00"/>
    <m/>
    <n v="55.62"/>
    <x v="121"/>
    <m/>
  </r>
  <r>
    <d v="2017-09-22T00:00:00"/>
    <m/>
    <n v="56.86"/>
    <x v="121"/>
    <m/>
  </r>
  <r>
    <d v="2017-09-29T00:00:00"/>
    <m/>
    <n v="57.41"/>
    <x v="121"/>
    <m/>
  </r>
  <r>
    <d v="2017-10-06T00:00:00"/>
    <m/>
    <n v="55.62"/>
    <x v="122"/>
    <m/>
  </r>
  <r>
    <d v="2017-10-13T00:00:00"/>
    <m/>
    <n v="57.17"/>
    <x v="122"/>
    <m/>
  </r>
  <r>
    <d v="2017-10-20T00:00:00"/>
    <m/>
    <n v="57.75"/>
    <x v="122"/>
    <m/>
  </r>
  <r>
    <d v="2017-10-27T00:00:00"/>
    <m/>
    <n v="60.44"/>
    <x v="122"/>
    <m/>
  </r>
  <r>
    <d v="2017-11-03T00:00:00"/>
    <m/>
    <n v="62.07"/>
    <x v="123"/>
    <m/>
  </r>
  <r>
    <d v="2017-11-10T00:00:00"/>
    <m/>
    <n v="63.52"/>
    <x v="123"/>
    <m/>
  </r>
  <r>
    <d v="2017-11-17T00:00:00"/>
    <m/>
    <n v="62.72"/>
    <x v="123"/>
    <m/>
  </r>
  <r>
    <d v="2017-11-24T00:00:00"/>
    <m/>
    <n v="63.86"/>
    <x v="123"/>
    <m/>
  </r>
  <r>
    <d v="2017-12-01T00:00:00"/>
    <m/>
    <n v="63.73"/>
    <x v="124"/>
    <m/>
  </r>
  <r>
    <d v="2017-12-08T00:00:00"/>
    <m/>
    <n v="63.4"/>
    <x v="124"/>
    <m/>
  </r>
  <r>
    <d v="2017-12-15T00:00:00"/>
    <m/>
    <n v="63.23"/>
    <x v="124"/>
    <m/>
  </r>
  <r>
    <d v="2017-12-22T00:00:00"/>
    <m/>
    <n v="65.25"/>
    <x v="124"/>
    <m/>
  </r>
  <r>
    <d v="2017-12-29T00:00:00"/>
    <m/>
    <n v="66.87"/>
    <x v="124"/>
    <m/>
  </r>
  <r>
    <d v="2018-01-05T00:00:00"/>
    <m/>
    <n v="67.62"/>
    <x v="125"/>
    <m/>
  </r>
  <r>
    <d v="2018-01-12T00:00:00"/>
    <m/>
    <n v="69.87"/>
    <x v="125"/>
    <m/>
  </r>
  <r>
    <d v="2018-01-19T00:00:00"/>
    <m/>
    <n v="68.61"/>
    <x v="125"/>
    <m/>
  </r>
  <r>
    <d v="2018-01-26T00:00:00"/>
    <m/>
    <n v="70.52"/>
    <x v="125"/>
    <m/>
  </r>
  <r>
    <d v="2018-02-02T00:00:00"/>
    <m/>
    <n v="68.58"/>
    <x v="126"/>
    <m/>
  </r>
  <r>
    <d v="2018-02-09T00:00:00"/>
    <m/>
    <n v="62.79"/>
    <x v="126"/>
    <m/>
  </r>
  <r>
    <d v="2018-02-16T00:00:00"/>
    <m/>
    <n v="64.84"/>
    <x v="126"/>
    <m/>
  </r>
  <r>
    <d v="2018-02-23T00:00:00"/>
    <m/>
    <n v="67.31"/>
    <x v="126"/>
    <m/>
  </r>
  <r>
    <d v="2018-03-02T00:00:00"/>
    <m/>
    <n v="64.37"/>
    <x v="127"/>
    <m/>
  </r>
  <r>
    <d v="2018-03-09T00:00:00"/>
    <m/>
    <n v="65.489999999999995"/>
    <x v="127"/>
    <m/>
  </r>
  <r>
    <d v="2018-03-16T00:00:00"/>
    <m/>
    <n v="66.209999999999994"/>
    <x v="127"/>
    <m/>
  </r>
  <r>
    <d v="2018-03-23T00:00:00"/>
    <m/>
    <n v="70.45"/>
    <x v="127"/>
    <m/>
  </r>
  <r>
    <d v="2018-03-30T00:00:00"/>
    <m/>
    <n v="70.27"/>
    <x v="127"/>
    <m/>
  </r>
  <r>
    <d v="2018-04-06T00:00:00"/>
    <m/>
    <n v="67.11"/>
    <x v="128"/>
    <m/>
  </r>
  <r>
    <d v="2018-04-13T00:00:00"/>
    <m/>
    <n v="72.58"/>
    <x v="128"/>
    <m/>
  </r>
  <r>
    <d v="2018-04-20T00:00:00"/>
    <m/>
    <n v="74.06"/>
    <x v="128"/>
    <m/>
  </r>
  <r>
    <d v="2018-04-27T00:00:00"/>
    <m/>
    <n v="74.64"/>
    <x v="128"/>
    <m/>
  </r>
  <r>
    <d v="2018-05-04T00:00:00"/>
    <m/>
    <n v="74.87"/>
    <x v="129"/>
    <m/>
  </r>
  <r>
    <d v="2018-05-11T00:00:00"/>
    <m/>
    <n v="77.12"/>
    <x v="129"/>
    <m/>
  </r>
  <r>
    <d v="2018-05-18T00:00:00"/>
    <m/>
    <n v="78.510000000000005"/>
    <x v="129"/>
    <m/>
  </r>
  <r>
    <d v="2018-05-25T00:00:00"/>
    <m/>
    <n v="76.44"/>
    <x v="129"/>
    <m/>
  </r>
  <r>
    <d v="2018-06-01T00:00:00"/>
    <m/>
    <n v="76.790000000000006"/>
    <x v="130"/>
    <m/>
  </r>
  <r>
    <d v="2018-06-08T00:00:00"/>
    <m/>
    <n v="76.459999999999994"/>
    <x v="130"/>
    <m/>
  </r>
  <r>
    <d v="2018-06-15T00:00:00"/>
    <m/>
    <n v="73.44"/>
    <x v="130"/>
    <m/>
  </r>
  <r>
    <d v="2018-06-22T00:00:00"/>
    <m/>
    <n v="75.55"/>
    <x v="130"/>
    <m/>
  </r>
  <r>
    <d v="2018-06-29T00:00:00"/>
    <m/>
    <n v="79.44"/>
    <x v="130"/>
    <m/>
  </r>
  <r>
    <d v="2018-07-06T00:00:00"/>
    <n v="542.59"/>
    <n v="77.11"/>
    <x v="131"/>
    <m/>
  </r>
  <r>
    <d v="2018-07-13T00:00:00"/>
    <n v="535.28"/>
    <n v="75.33"/>
    <x v="131"/>
    <m/>
  </r>
  <r>
    <d v="2018-07-20T00:00:00"/>
    <n v="525.21"/>
    <n v="73.069999999999993"/>
    <x v="131"/>
    <m/>
  </r>
  <r>
    <d v="2018-07-27T00:00:00"/>
    <n v="542.54999999999995"/>
    <n v="74.290000000000006"/>
    <x v="131"/>
    <m/>
  </r>
  <r>
    <d v="2018-08-03T00:00:00"/>
    <n v="529.51"/>
    <n v="73.209999999999994"/>
    <x v="132"/>
    <m/>
  </r>
  <r>
    <d v="2018-08-10T00:00:00"/>
    <n v="529.62"/>
    <n v="72.81"/>
    <x v="132"/>
    <m/>
  </r>
  <r>
    <d v="2018-08-17T00:00:00"/>
    <n v="517.24"/>
    <n v="71.83"/>
    <x v="132"/>
    <m/>
  </r>
  <r>
    <d v="2018-08-24T00:00:00"/>
    <n v="543.48"/>
    <n v="75.819999999999993"/>
    <x v="132"/>
    <m/>
  </r>
  <r>
    <d v="2018-08-31T00:00:00"/>
    <n v="553.30999999999995"/>
    <n v="77.42"/>
    <x v="132"/>
    <m/>
  </r>
  <r>
    <d v="2018-09-07T00:00:00"/>
    <n v="540.83000000000004"/>
    <n v="76.83"/>
    <x v="133"/>
    <m/>
  </r>
  <r>
    <d v="2018-09-14T00:00:00"/>
    <n v="544.82000000000005"/>
    <n v="78.09"/>
    <x v="133"/>
    <m/>
  </r>
  <r>
    <d v="2018-09-21T00:00:00"/>
    <n v="553.76"/>
    <n v="78.8"/>
    <x v="133"/>
    <m/>
  </r>
  <r>
    <d v="2018-09-28T00:00:00"/>
    <n v="586.13"/>
    <n v="82.72"/>
    <x v="133"/>
    <m/>
  </r>
  <r>
    <d v="2018-10-05T00:00:00"/>
    <n v="600.97"/>
    <n v="84.16"/>
    <x v="134"/>
    <m/>
  </r>
  <r>
    <d v="2018-10-12T00:00:00"/>
    <n v="580.78"/>
    <n v="80.430000000000007"/>
    <x v="134"/>
    <m/>
  </r>
  <r>
    <d v="2018-10-19T00:00:00"/>
    <n v="580.66"/>
    <n v="79.78"/>
    <x v="134"/>
    <m/>
  </r>
  <r>
    <d v="2018-10-26T00:00:00"/>
    <n v="576.24"/>
    <n v="77.62"/>
    <x v="134"/>
    <m/>
  </r>
  <r>
    <d v="2018-11-02T00:00:00"/>
    <n v="539.77"/>
    <n v="72.83"/>
    <x v="135"/>
    <m/>
  </r>
  <r>
    <d v="2018-11-09T00:00:00"/>
    <n v="527.1"/>
    <n v="70.180000000000007"/>
    <x v="135"/>
    <m/>
  </r>
  <r>
    <d v="2018-11-16T00:00:00"/>
    <n v="508.73"/>
    <n v="66.760000000000005"/>
    <x v="135"/>
    <m/>
  </r>
  <r>
    <d v="2018-11-23T00:00:00"/>
    <n v="464.81"/>
    <n v="58.8"/>
    <x v="135"/>
    <m/>
  </r>
  <r>
    <d v="2018-11-30T00:00:00"/>
    <n v="445.21"/>
    <n v="58.71"/>
    <x v="135"/>
    <m/>
  </r>
  <r>
    <d v="2018-12-07T00:00:00"/>
    <n v="461.48"/>
    <n v="61.67"/>
    <x v="136"/>
    <m/>
  </r>
  <r>
    <d v="2018-12-14T00:00:00"/>
    <n v="444.04"/>
    <n v="60.28"/>
    <x v="136"/>
    <m/>
  </r>
  <r>
    <d v="2018-12-21T00:00:00"/>
    <n v="406.63"/>
    <n v="53.82"/>
    <x v="136"/>
    <m/>
  </r>
  <r>
    <d v="2018-12-28T00:00:00"/>
    <n v="393.06"/>
    <n v="52.2"/>
    <x v="136"/>
    <m/>
  </r>
  <r>
    <d v="2019-01-04T00:00:00"/>
    <n v="424.47"/>
    <n v="57.06"/>
    <x v="137"/>
    <m/>
  </r>
  <r>
    <d v="2019-01-11T00:00:00"/>
    <n v="456.95"/>
    <n v="60.48"/>
    <x v="137"/>
    <m/>
  </r>
  <r>
    <d v="2019-01-18T00:00:00"/>
    <n v="464.71"/>
    <n v="62.7"/>
    <x v="137"/>
    <m/>
  </r>
  <r>
    <d v="2019-01-25T00:00:00"/>
    <n v="460.46"/>
    <n v="61.64"/>
    <x v="137"/>
    <m/>
  </r>
  <r>
    <d v="2019-02-01T00:00:00"/>
    <n v="468.11"/>
    <n v="62.75"/>
    <x v="138"/>
    <m/>
  </r>
  <r>
    <d v="2019-02-08T00:00:00"/>
    <n v="470.65"/>
    <n v="62.1"/>
    <x v="138"/>
    <m/>
  </r>
  <r>
    <d v="2019-02-15T00:00:00"/>
    <n v="501.57"/>
    <n v="66.25"/>
    <x v="138"/>
    <m/>
  </r>
  <r>
    <d v="2019-02-22T00:00:00"/>
    <n v="503.54"/>
    <n v="67.12"/>
    <x v="138"/>
    <m/>
  </r>
  <r>
    <d v="2019-03-01T00:00:00"/>
    <n v="496.28"/>
    <n v="65.069999999999993"/>
    <x v="139"/>
    <m/>
  </r>
  <r>
    <d v="2019-03-08T00:00:00"/>
    <n v="493.94"/>
    <n v="65.739999999999995"/>
    <x v="139"/>
    <m/>
  </r>
  <r>
    <d v="2019-03-15T00:00:00"/>
    <n v="500.98"/>
    <n v="67.16"/>
    <x v="139"/>
    <m/>
  </r>
  <r>
    <d v="2019-03-22T00:00:00"/>
    <n v="491.43"/>
    <n v="67.03"/>
    <x v="139"/>
    <m/>
  </r>
  <r>
    <d v="2019-03-29T00:00:00"/>
    <n v="499.96"/>
    <n v="68.39"/>
    <x v="139"/>
    <m/>
  </r>
  <r>
    <d v="2019-04-05T00:00:00"/>
    <n v="510.52"/>
    <n v="70.34"/>
    <x v="140"/>
    <m/>
  </r>
  <r>
    <d v="2019-04-12T00:00:00"/>
    <n v="518.66"/>
    <n v="71.55"/>
    <x v="140"/>
    <m/>
  </r>
  <r>
    <d v="2019-04-19T00:00:00"/>
    <n v="517.84"/>
    <n v="71.97"/>
    <x v="140"/>
    <m/>
  </r>
  <r>
    <d v="2019-04-26T00:00:00"/>
    <n v="513.9"/>
    <n v="72.150000000000006"/>
    <x v="140"/>
    <m/>
  </r>
  <r>
    <d v="2019-05-03T00:00:00"/>
    <n v="518.29999999999995"/>
    <n v="70.849999999999994"/>
    <x v="141"/>
    <m/>
  </r>
  <r>
    <d v="2019-05-10T00:00:00"/>
    <n v="512.71"/>
    <n v="70.62"/>
    <x v="141"/>
    <m/>
  </r>
  <r>
    <d v="2019-05-17T00:00:00"/>
    <n v="530.74"/>
    <n v="72.209999999999994"/>
    <x v="141"/>
    <m/>
  </r>
  <r>
    <d v="2019-05-24T00:00:00"/>
    <n v="500.13"/>
    <n v="68.69"/>
    <x v="141"/>
    <m/>
  </r>
  <r>
    <d v="2019-05-31T00:00:00"/>
    <n v="477.64"/>
    <n v="64.489999999999995"/>
    <x v="141"/>
    <m/>
  </r>
  <r>
    <d v="2019-06-07T00:00:00"/>
    <n v="471.07"/>
    <n v="63.29"/>
    <x v="142"/>
    <m/>
  </r>
  <r>
    <d v="2019-06-14T00:00:00"/>
    <n v="465.2"/>
    <n v="62.01"/>
    <x v="142"/>
    <m/>
  </r>
  <r>
    <d v="2019-06-21T00:00:00"/>
    <n v="488.11"/>
    <n v="65.2"/>
    <x v="142"/>
    <m/>
  </r>
  <r>
    <d v="2019-06-28T00:00:00"/>
    <n v="497.08"/>
    <n v="66.55"/>
    <x v="142"/>
    <m/>
  </r>
  <r>
    <d v="2019-07-05T00:00:00"/>
    <n v="487.6"/>
    <n v="64.23"/>
    <x v="143"/>
    <m/>
  </r>
  <r>
    <d v="2019-07-12T00:00:00"/>
    <n v="506.86"/>
    <n v="66.72"/>
    <x v="143"/>
    <m/>
  </r>
  <r>
    <d v="2019-07-19T00:00:00"/>
    <n v="477.94"/>
    <n v="62.47"/>
    <x v="143"/>
    <m/>
  </r>
  <r>
    <d v="2019-07-26T00:00:00"/>
    <n v="486.97"/>
    <n v="63.46"/>
    <x v="143"/>
    <m/>
  </r>
  <r>
    <d v="2019-08-02T00:00:00"/>
    <n v="472.85"/>
    <n v="61.89"/>
    <x v="144"/>
    <m/>
  </r>
  <r>
    <d v="2019-08-09T00:00:00"/>
    <n v="446.5"/>
    <n v="58.53"/>
    <x v="144"/>
    <m/>
  </r>
  <r>
    <d v="2019-08-16T00:00:00"/>
    <n v="449.83"/>
    <n v="58.64"/>
    <x v="144"/>
    <m/>
  </r>
  <r>
    <d v="2019-08-23T00:00:00"/>
    <n v="455.74"/>
    <n v="59.34"/>
    <x v="144"/>
    <m/>
  </r>
  <r>
    <d v="2019-08-30T00:00:00"/>
    <n v="452.9"/>
    <n v="60.43"/>
    <x v="144"/>
    <m/>
  </r>
  <r>
    <d v="2019-09-06T00:00:00"/>
    <n v="454.83"/>
    <n v="61.54"/>
    <x v="145"/>
    <m/>
  </r>
  <r>
    <d v="2019-09-13T00:00:00"/>
    <n v="458.78"/>
    <n v="60.22"/>
    <x v="145"/>
    <m/>
  </r>
  <r>
    <d v="2019-09-20T00:00:00"/>
    <n v="484.88"/>
    <n v="64.28"/>
    <x v="145"/>
    <m/>
  </r>
  <r>
    <d v="2019-09-27T00:00:00"/>
    <n v="467.02"/>
    <n v="61.91"/>
    <x v="145"/>
    <m/>
  </r>
  <r>
    <d v="2019-10-04T00:00:00"/>
    <n v="459.51"/>
    <n v="58.37"/>
    <x v="146"/>
    <m/>
  </r>
  <r>
    <d v="2019-10-11T00:00:00"/>
    <n v="469.27"/>
    <n v="60.51"/>
    <x v="146"/>
    <m/>
  </r>
  <r>
    <d v="2019-10-18T00:00:00"/>
    <n v="463.08"/>
    <n v="59.42"/>
    <x v="146"/>
    <m/>
  </r>
  <r>
    <d v="2019-10-25T00:00:00"/>
    <n v="480.56"/>
    <n v="62.02"/>
    <x v="146"/>
    <m/>
  </r>
  <r>
    <d v="2019-11-01T00:00:00"/>
    <n v="473.54"/>
    <n v="61.69"/>
    <x v="147"/>
    <m/>
  </r>
  <r>
    <d v="2019-11-08T00:00:00"/>
    <n v="476.19"/>
    <n v="62.51"/>
    <x v="147"/>
    <m/>
  </r>
  <r>
    <d v="2019-11-15T00:00:00"/>
    <n v="483.94"/>
    <n v="63.3"/>
    <x v="147"/>
    <m/>
  </r>
  <r>
    <d v="2019-11-22T00:00:00"/>
    <n v="478.17"/>
    <n v="63.39"/>
    <x v="147"/>
    <m/>
  </r>
  <r>
    <d v="2019-11-29T00:00:00"/>
    <n v="464.15"/>
    <n v="62.47"/>
    <x v="147"/>
    <m/>
  </r>
  <r>
    <d v="2019-12-06T00:00:00"/>
    <n v="491.19"/>
    <n v="64.39"/>
    <x v="148"/>
    <m/>
  </r>
  <r>
    <d v="2019-12-13T00:00:00"/>
    <n v="500.93"/>
    <n v="65.22"/>
    <x v="148"/>
    <m/>
  </r>
  <r>
    <d v="2019-12-20T00:00:00"/>
    <n v="529.33000000000004"/>
    <n v="66.14"/>
    <x v="148"/>
    <m/>
  </r>
  <r>
    <d v="2019-12-27T00:00:00"/>
    <n v="536.91999999999996"/>
    <n v="68.16"/>
    <x v="148"/>
    <m/>
  </r>
  <r>
    <d v="2020-01-03T00:00:00"/>
    <n v="543.4"/>
    <n v="68.599999999999994"/>
    <x v="149"/>
    <m/>
  </r>
  <r>
    <d v="2020-01-10T00:00:00"/>
    <n v="533.47"/>
    <n v="64.98"/>
    <x v="149"/>
    <m/>
  </r>
  <r>
    <d v="2020-01-17T00:00:00"/>
    <n v="519.55999999999995"/>
    <n v="64.849999999999994"/>
    <x v="149"/>
    <m/>
  </r>
  <r>
    <d v="2020-01-24T00:00:00"/>
    <n v="480.08"/>
    <n v="60.69"/>
    <x v="149"/>
    <m/>
  </r>
  <r>
    <d v="2020-01-31T00:00:00"/>
    <n v="454.41"/>
    <n v="58.16"/>
    <x v="149"/>
    <m/>
  </r>
  <r>
    <d v="2020-02-07T00:00:00"/>
    <n v="444.97"/>
    <n v="54.47"/>
    <x v="150"/>
    <m/>
  </r>
  <r>
    <d v="2020-02-14T00:00:00"/>
    <n v="452.21"/>
    <n v="57.32"/>
    <x v="150"/>
    <m/>
  </r>
  <r>
    <d v="2020-02-21T00:00:00"/>
    <n v="425.37"/>
    <n v="58.5"/>
    <x v="150"/>
    <m/>
  </r>
  <r>
    <d v="2020-02-28T00:00:00"/>
    <n v="362.12"/>
    <n v="50.52"/>
    <x v="150"/>
    <m/>
  </r>
  <r>
    <d v="2020-03-06T00:00:00"/>
    <n v="336.37"/>
    <n v="45.27"/>
    <x v="151"/>
    <m/>
  </r>
  <r>
    <d v="2020-03-13T00:00:00"/>
    <n v="272.06"/>
    <n v="33.85"/>
    <x v="151"/>
    <m/>
  </r>
  <r>
    <d v="2020-03-20T00:00:00"/>
    <n v="207.03"/>
    <n v="26.98"/>
    <x v="151"/>
    <m/>
  </r>
  <r>
    <d v="2020-03-27T00:00:00"/>
    <n v="218.94"/>
    <n v="24.93"/>
    <x v="151"/>
    <m/>
  </r>
  <r>
    <d v="2020-04-03T00:00:00"/>
    <n v="247.45"/>
    <n v="34.11"/>
    <x v="152"/>
    <m/>
  </r>
  <r>
    <d v="2020-04-10T00:00:00"/>
    <n v="228.23"/>
    <n v="31.48"/>
    <x v="152"/>
    <m/>
  </r>
  <r>
    <d v="2020-04-17T00:00:00"/>
    <n v="223.02"/>
    <n v="28.08"/>
    <x v="152"/>
    <m/>
  </r>
  <r>
    <d v="2020-04-24T00:00:00"/>
    <n v="180.04"/>
    <n v="21.44"/>
    <x v="152"/>
    <m/>
  </r>
  <r>
    <d v="2020-05-01T00:00:00"/>
    <n v="199.52"/>
    <n v="26.44"/>
    <x v="153"/>
    <m/>
  </r>
  <r>
    <d v="2020-05-08T00:00:00"/>
    <n v="217.51"/>
    <n v="30.97"/>
    <x v="153"/>
    <m/>
  </r>
  <r>
    <d v="2020-05-15T00:00:00"/>
    <n v="222.39"/>
    <n v="32.5"/>
    <x v="153"/>
    <m/>
  </r>
  <r>
    <d v="2020-05-22T00:00:00"/>
    <n v="241.63"/>
    <n v="35.130000000000003"/>
    <x v="153"/>
    <m/>
  </r>
  <r>
    <d v="2020-05-29T00:00:00"/>
    <n v="242.71"/>
    <n v="35.33"/>
    <x v="153"/>
    <m/>
  </r>
  <r>
    <d v="2020-06-05T00:00:00"/>
    <n v="280.95"/>
    <n v="42.3"/>
    <x v="154"/>
    <m/>
  </r>
  <r>
    <d v="2020-06-12T00:00:00"/>
    <n v="269.24"/>
    <n v="38.729999999999997"/>
    <x v="154"/>
    <m/>
  </r>
  <r>
    <d v="2020-06-19T00:00:00"/>
    <n v="288.62"/>
    <n v="42.19"/>
    <x v="154"/>
    <m/>
  </r>
  <r>
    <d v="2020-06-26T00:00:00"/>
    <n v="273.45"/>
    <n v="41.02"/>
    <x v="154"/>
    <m/>
  </r>
  <r>
    <d v="2020-07-03T00:00:00"/>
    <n v="305.97000000000003"/>
    <n v="43.14"/>
    <x v="155"/>
    <m/>
  </r>
  <r>
    <d v="2020-07-10T00:00:00"/>
    <n v="307.08999999999997"/>
    <n v="43.24"/>
    <x v="155"/>
    <m/>
  </r>
  <r>
    <d v="2020-07-17T00:00:00"/>
    <n v="297.79000000000002"/>
    <n v="43.14"/>
    <x v="155"/>
    <m/>
  </r>
  <r>
    <d v="2020-07-24T00:00:00"/>
    <n v="306.67"/>
    <n v="43.34"/>
    <x v="155"/>
    <m/>
  </r>
  <r>
    <d v="2020-07-31T00:00:00"/>
    <n v="298.39999999999998"/>
    <n v="43.3"/>
    <x v="155"/>
    <m/>
  </r>
  <r>
    <d v="2020-08-07T00:00:00"/>
    <n v="307.72000000000003"/>
    <n v="44.4"/>
    <x v="156"/>
    <m/>
  </r>
  <r>
    <d v="2020-08-14T00:00:00"/>
    <n v="311.89999999999998"/>
    <n v="44.8"/>
    <x v="156"/>
    <m/>
  </r>
  <r>
    <d v="2020-08-21T00:00:00"/>
    <n v="302.20999999999998"/>
    <n v="44.35"/>
    <x v="156"/>
    <m/>
  </r>
  <r>
    <d v="2020-08-28T00:00:00"/>
    <n v="308.70999999999998"/>
    <n v="45.05"/>
    <x v="156"/>
    <m/>
  </r>
  <r>
    <d v="2020-09-04T00:00:00"/>
    <n v="290.49"/>
    <n v="42.66"/>
    <x v="157"/>
    <m/>
  </r>
  <r>
    <d v="2020-09-11T00:00:00"/>
    <n v="271.72000000000003"/>
    <n v="39.83"/>
    <x v="157"/>
    <m/>
  </r>
  <r>
    <d v="2020-09-18T00:00:00"/>
    <n v="294.88"/>
    <n v="43.15"/>
    <x v="157"/>
    <m/>
  </r>
  <r>
    <d v="2020-09-25T00:00:00"/>
    <n v="293.25"/>
    <n v="41.92"/>
    <x v="157"/>
    <m/>
  </r>
  <r>
    <d v="2020-10-02T00:00:00"/>
    <n v="276.32"/>
    <n v="39.270000000000003"/>
    <x v="158"/>
    <m/>
  </r>
  <r>
    <d v="2020-10-09T00:00:00"/>
    <n v="303.05"/>
    <n v="42.85"/>
    <x v="158"/>
    <m/>
  </r>
  <r>
    <d v="2020-10-16T00:00:00"/>
    <n v="309.39"/>
    <n v="42.93"/>
    <x v="158"/>
    <m/>
  </r>
  <r>
    <d v="2020-10-23T00:00:00"/>
    <n v="298.29000000000002"/>
    <n v="41.77"/>
    <x v="158"/>
    <m/>
  </r>
  <r>
    <d v="2020-10-30T00:00:00"/>
    <n v="276.27"/>
    <n v="37.46"/>
    <x v="158"/>
    <m/>
  </r>
  <r>
    <d v="2020-11-06T00:00:00"/>
    <n v="293.66000000000003"/>
    <n v="39.450000000000003"/>
    <x v="159"/>
    <m/>
  </r>
  <r>
    <d v="2020-11-13T00:00:00"/>
    <n v="311.42"/>
    <n v="42.78"/>
    <x v="159"/>
    <m/>
  </r>
  <r>
    <d v="2020-11-20T00:00:00"/>
    <n v="326.39999999999998"/>
    <n v="44.96"/>
    <x v="159"/>
    <m/>
  </r>
  <r>
    <d v="2020-11-27T00:00:00"/>
    <n v="341.39"/>
    <n v="48.18"/>
    <x v="159"/>
    <m/>
  </r>
  <r>
    <d v="2020-12-04T00:00:00"/>
    <n v="348.39"/>
    <n v="49.25"/>
    <x v="160"/>
    <m/>
  </r>
  <r>
    <d v="2020-12-11T00:00:00"/>
    <n v="357.86"/>
    <n v="49.97"/>
    <x v="160"/>
    <m/>
  </r>
  <r>
    <d v="2020-12-18T00:00:00"/>
    <n v="379.57"/>
    <n v="52.26"/>
    <x v="160"/>
    <m/>
  </r>
  <r>
    <d v="2020-12-25T00:00:00"/>
    <n v="369.75"/>
    <n v="51.29"/>
    <x v="160"/>
    <m/>
  </r>
  <r>
    <d v="2021-01-01T00:00:00"/>
    <n v="371.14"/>
    <n v="51.8"/>
    <x v="161"/>
    <m/>
  </r>
  <r>
    <d v="2021-01-08T00:00:00"/>
    <n v="400.7"/>
    <n v="55.99"/>
    <x v="161"/>
    <m/>
  </r>
  <r>
    <d v="2021-01-15T00:00:00"/>
    <n v="400.18"/>
    <n v="55.1"/>
    <x v="161"/>
    <m/>
  </r>
  <r>
    <d v="2021-01-22T00:00:00"/>
    <n v="401.73"/>
    <n v="55.41"/>
    <x v="161"/>
    <m/>
  </r>
  <r>
    <d v="2021-01-29T00:00:00"/>
    <n v="402.77"/>
    <n v="55.88"/>
    <x v="161"/>
    <m/>
  </r>
  <r>
    <d v="2021-02-05T00:00:00"/>
    <n v="436.64"/>
    <n v="59.34"/>
    <x v="162"/>
    <m/>
  </r>
  <r>
    <d v="2021-02-12T00:00:00"/>
    <n v="458.98"/>
    <n v="62.43"/>
    <x v="162"/>
    <m/>
  </r>
  <r>
    <d v="2021-02-19T00:00:00"/>
    <n v="457.55"/>
    <n v="62.91"/>
    <x v="162"/>
    <m/>
  </r>
  <r>
    <d v="2021-02-26T00:00:00"/>
    <n v="471.46"/>
    <n v="66.13"/>
    <x v="162"/>
    <m/>
  </r>
  <r>
    <d v="2021-03-05T00:00:00"/>
    <n v="496.23"/>
    <n v="69.36"/>
    <x v="163"/>
    <m/>
  </r>
  <r>
    <d v="2021-03-12T00:00:00"/>
    <n v="493.47"/>
    <n v="69.22"/>
    <x v="163"/>
    <m/>
  </r>
  <r>
    <d v="2021-03-19T00:00:00"/>
    <n v="457.08"/>
    <n v="64.53"/>
    <x v="163"/>
    <m/>
  </r>
  <r>
    <d v="2021-03-26T00:00:00"/>
    <n v="446.13"/>
    <n v="64.569999999999993"/>
    <x v="163"/>
    <m/>
  </r>
  <r>
    <d v="2021-04-02T00:00:00"/>
    <n v="452.98"/>
    <n v="64.86"/>
    <x v="164"/>
    <m/>
  </r>
  <r>
    <d v="2021-04-09T00:00:00"/>
    <n v="445.18"/>
    <n v="62.95"/>
    <x v="164"/>
    <m/>
  </r>
  <r>
    <d v="2021-04-16T00:00:00"/>
    <n v="470.55"/>
    <n v="66.77"/>
    <x v="164"/>
    <m/>
  </r>
  <r>
    <d v="2021-04-23T00:00:00"/>
    <n v="461.52"/>
    <n v="66.11"/>
    <x v="164"/>
    <m/>
  </r>
  <r>
    <d v="2021-04-30T00:00:00"/>
    <n v="463.06"/>
    <n v="67.25"/>
    <x v="164"/>
    <m/>
  </r>
  <r>
    <d v="2021-05-07T00:00:00"/>
    <n v="473.88"/>
    <n v="68.28"/>
    <x v="165"/>
    <m/>
  </r>
  <r>
    <d v="2021-05-14T00:00:00"/>
    <n v="472.63"/>
    <n v="68.709999999999994"/>
    <x v="165"/>
    <m/>
  </r>
  <r>
    <d v="2021-05-21T00:00:00"/>
    <n v="457.92"/>
    <n v="66.44"/>
    <x v="165"/>
    <m/>
  </r>
  <r>
    <d v="2021-05-28T00:00:00"/>
    <n v="474.18"/>
    <n v="69.63"/>
    <x v="165"/>
    <m/>
  </r>
  <r>
    <d v="2021-06-04T00:00:00"/>
    <n v="496.27"/>
    <n v="71.89"/>
    <x v="166"/>
    <m/>
  </r>
  <r>
    <d v="2021-06-11T00:00:00"/>
    <n v="499.13"/>
    <n v="72.69"/>
    <x v="166"/>
    <m/>
  </r>
  <r>
    <d v="2021-06-18T00:00:00"/>
    <n v="500.38"/>
    <n v="73.510000000000005"/>
    <x v="166"/>
    <m/>
  </r>
  <r>
    <d v="2021-06-25T00:00:00"/>
    <n v="521.41"/>
    <n v="76.180000000000007"/>
    <x v="166"/>
    <m/>
  </r>
  <r>
    <d v="2021-07-02T00:00:00"/>
    <n v="523.78"/>
    <n v="76.17"/>
    <x v="167"/>
    <m/>
  </r>
  <r>
    <d v="2021-07-09T00:00:00"/>
    <n v="517.77"/>
    <n v="75.55"/>
    <x v="167"/>
    <m/>
  </r>
  <r>
    <d v="2021-07-16T00:00:00"/>
    <n v="509.17"/>
    <n v="73.59"/>
    <x v="167"/>
    <m/>
  </r>
  <r>
    <d v="2021-07-23T00:00:00"/>
    <n v="509.94"/>
    <n v="74.099999999999994"/>
    <x v="167"/>
    <m/>
  </r>
  <r>
    <d v="2021-07-30T00:00:00"/>
    <n v="521.97"/>
    <n v="76.33"/>
    <x v="167"/>
    <m/>
  </r>
  <r>
    <d v="2021-08-06T00:00:00"/>
    <n v="490.28"/>
    <n v="70.7"/>
    <x v="168"/>
    <m/>
  </r>
  <r>
    <d v="2021-08-13T00:00:00"/>
    <n v="485.15"/>
    <n v="70.59"/>
    <x v="168"/>
    <m/>
  </r>
  <r>
    <d v="2021-08-20T00:00:00"/>
    <n v="450.21"/>
    <n v="65.180000000000007"/>
    <x v="168"/>
    <m/>
  </r>
  <r>
    <d v="2021-08-27T00:00:00"/>
    <n v="498"/>
    <n v="72.7"/>
    <x v="168"/>
    <m/>
  </r>
  <r>
    <d v="2021-09-03T00:00:00"/>
    <n v="500.92"/>
    <n v="72.61"/>
    <x v="169"/>
    <m/>
  </r>
  <r>
    <d v="2021-09-10T00:00:00"/>
    <n v="501.88"/>
    <n v="72.92"/>
    <x v="169"/>
    <m/>
  </r>
  <r>
    <d v="2021-09-17T00:00:00"/>
    <n v="517.04"/>
    <n v="75.34"/>
    <x v="169"/>
    <m/>
  </r>
  <r>
    <d v="2021-09-24T00:00:00"/>
    <n v="525.9"/>
    <n v="78.09"/>
    <x v="169"/>
    <m/>
  </r>
  <r>
    <d v="2021-10-01T00:00:00"/>
    <n v="535.54"/>
    <n v="79.28"/>
    <x v="170"/>
    <m/>
  </r>
  <r>
    <d v="2021-10-08T00:00:00"/>
    <n v="558.44000000000005"/>
    <n v="82.39"/>
    <x v="170"/>
    <m/>
  </r>
  <r>
    <d v="2021-10-15T00:00:00"/>
    <n v="573.41"/>
    <n v="84.86"/>
    <x v="170"/>
    <m/>
  </r>
  <r>
    <d v="2021-10-22T00:00:00"/>
    <n v="587.6"/>
    <n v="85.53"/>
    <x v="170"/>
    <m/>
  </r>
  <r>
    <d v="2021-10-29T00:00:00"/>
    <n v="571.85"/>
    <n v="84.38"/>
    <x v="170"/>
    <m/>
  </r>
  <r>
    <d v="2021-11-05T00:00:00"/>
    <n v="577.62"/>
    <n v="82.74"/>
    <x v="171"/>
    <m/>
  </r>
  <r>
    <d v="2021-11-12T00:00:00"/>
    <n v="553.27"/>
    <n v="82.17"/>
    <x v="171"/>
    <m/>
  </r>
  <r>
    <d v="2021-11-19T00:00:00"/>
    <n v="532.08000000000004"/>
    <n v="78.89"/>
    <x v="171"/>
    <m/>
  </r>
  <r>
    <d v="2021-11-26T00:00:00"/>
    <n v="499.4"/>
    <n v="72.72"/>
    <x v="171"/>
    <m/>
  </r>
  <r>
    <d v="2021-12-03T00:00:00"/>
    <n v="490.23"/>
    <n v="69.88"/>
    <x v="172"/>
    <m/>
  </r>
  <r>
    <d v="2021-12-10T00:00:00"/>
    <n v="522.21"/>
    <n v="75.150000000000006"/>
    <x v="172"/>
    <m/>
  </r>
  <r>
    <d v="2021-12-17T00:00:00"/>
    <n v="516.30999999999995"/>
    <n v="73.52"/>
    <x v="172"/>
    <m/>
  </r>
  <r>
    <d v="2021-12-24T00:00:00"/>
    <n v="525.94000000000005"/>
    <n v="76.849999999999994"/>
    <x v="172"/>
    <m/>
  </r>
  <r>
    <d v="2021-12-31T00:00:00"/>
    <n v="545.25"/>
    <n v="77.78"/>
    <x v="172"/>
    <m/>
  </r>
  <r>
    <d v="2022-01-07T00:00:00"/>
    <n v="556.83000000000004"/>
    <n v="81.75"/>
    <x v="173"/>
    <m/>
  </r>
  <r>
    <d v="2022-01-14T00:00:00"/>
    <n v="598.22"/>
    <n v="86.06"/>
    <x v="173"/>
    <m/>
  </r>
  <r>
    <d v="2022-01-21T00:00:00"/>
    <n v="611.12"/>
    <n v="87.89"/>
    <x v="173"/>
    <m/>
  </r>
  <r>
    <d v="2022-01-28T00:00:00"/>
    <n v="621.58000000000004"/>
    <n v="90.03"/>
    <x v="173"/>
    <m/>
  </r>
  <r>
    <d v="2022-02-04T00:00:00"/>
    <n v="642.62"/>
    <n v="93.27"/>
    <x v="174"/>
    <m/>
  </r>
  <r>
    <d v="2022-02-11T00:00:00"/>
    <n v="664.68"/>
    <n v="94.44"/>
    <x v="174"/>
    <m/>
  </r>
  <r>
    <d v="2022-02-18T00:00:00"/>
    <n v="651.39"/>
    <n v="93.54"/>
    <x v="174"/>
    <m/>
  </r>
  <r>
    <d v="2022-02-25T00:00:00"/>
    <n v="674.28"/>
    <n v="97.93"/>
    <x v="174"/>
    <m/>
  </r>
  <r>
    <d v="2022-03-04T00:00:00"/>
    <n v="805.56"/>
    <n v="118.11"/>
    <x v="175"/>
    <m/>
  </r>
  <r>
    <d v="2022-03-11T00:00:00"/>
    <n v="791.05"/>
    <n v="112.67"/>
    <x v="175"/>
    <m/>
  </r>
  <r>
    <d v="2022-03-18T00:00:00"/>
    <n v="745.85"/>
    <n v="107.93"/>
    <x v="175"/>
    <m/>
  </r>
  <r>
    <d v="2022-03-25T00:00:00"/>
    <n v="823.27"/>
    <n v="120.65"/>
    <x v="175"/>
    <m/>
  </r>
  <r>
    <d v="2022-04-01T00:00:00"/>
    <n v="726.13"/>
    <n v="104.39"/>
    <x v="176"/>
    <m/>
  </r>
  <r>
    <d v="2022-04-08T00:00:00"/>
    <n v="709.27"/>
    <n v="102.78"/>
    <x v="176"/>
    <m/>
  </r>
  <r>
    <d v="2022-04-15T00:00:00"/>
    <n v="770.91"/>
    <n v="111.7"/>
    <x v="176"/>
    <m/>
  </r>
  <r>
    <d v="2022-04-22T00:00:00"/>
    <n v="738.17"/>
    <n v="106.65"/>
    <x v="176"/>
    <m/>
  </r>
  <r>
    <d v="2022-04-29T00:00:00"/>
    <n v="759.46"/>
    <n v="109.34"/>
    <x v="176"/>
    <m/>
  </r>
  <r>
    <d v="2022-05-06T00:00:00"/>
    <n v="762.43"/>
    <n v="112.39"/>
    <x v="177"/>
    <m/>
  </r>
  <r>
    <d v="2022-05-13T00:00:00"/>
    <n v="755.33"/>
    <n v="111.55"/>
    <x v="177"/>
    <m/>
  </r>
  <r>
    <d v="2022-05-20T00:00:00"/>
    <n v="778.97"/>
    <n v="112.55"/>
    <x v="177"/>
    <m/>
  </r>
  <r>
    <d v="2022-05-27T00:00:00"/>
    <n v="821.59"/>
    <n v="119.43"/>
    <x v="177"/>
    <m/>
  </r>
  <r>
    <d v="2022-06-03T00:00:00"/>
    <n v="842.63"/>
    <n v="119.72"/>
    <x v="178"/>
    <m/>
  </r>
  <r>
    <d v="2022-06-10T00:00:00"/>
    <n v="868.75"/>
    <n v="122.01"/>
    <x v="178"/>
    <m/>
  </r>
  <r>
    <d v="2022-06-17T00:00:00"/>
    <n v="804.59"/>
    <n v="113.12"/>
    <x v="178"/>
    <m/>
  </r>
  <r>
    <d v="2022-06-24T00:00:00"/>
    <n v="800.23"/>
    <n v="113.12"/>
    <x v="178"/>
    <m/>
  </r>
  <r>
    <d v="2022-07-01T00:00:00"/>
    <n v="773.64"/>
    <n v="111.63"/>
    <x v="179"/>
    <m/>
  </r>
  <r>
    <d v="2022-07-08T00:00:00"/>
    <n v="738.36"/>
    <n v="107.02"/>
    <x v="179"/>
    <m/>
  </r>
  <r>
    <d v="2022-07-15T00:00:00"/>
    <n v="694.77"/>
    <n v="101.16"/>
    <x v="179"/>
    <m/>
  </r>
  <r>
    <d v="2022-07-22T00:00:00"/>
    <n v="687.76"/>
    <n v="103.2"/>
    <x v="179"/>
    <m/>
  </r>
  <r>
    <d v="2022-07-29T00:00:00"/>
    <n v="709.76"/>
    <n v="110.01"/>
    <x v="179"/>
    <m/>
  </r>
  <r>
    <d v="2022-08-05T00:00:00"/>
    <n v="626.99"/>
    <n v="94.92"/>
    <x v="180"/>
    <m/>
  </r>
  <r>
    <d v="2022-08-12T00:00:00"/>
    <n v="658.68"/>
    <n v="98.15"/>
    <x v="180"/>
    <m/>
  </r>
  <r>
    <d v="2022-08-19T00:00:00"/>
    <n v="651.98"/>
    <n v="96.72"/>
    <x v="180"/>
    <m/>
  </r>
  <r>
    <d v="2022-08-26T00:00:00"/>
    <n v="677.42"/>
    <n v="100.99"/>
    <x v="180"/>
    <m/>
  </r>
  <r>
    <d v="2022-09-02T00:00:00"/>
    <n v="622"/>
    <n v="93.02"/>
    <x v="181"/>
    <m/>
  </r>
  <r>
    <d v="2022-09-09T00:00:00"/>
    <n v="612.5"/>
    <n v="92.84"/>
    <x v="181"/>
    <m/>
  </r>
  <r>
    <d v="2022-09-16T00:00:00"/>
    <n v="599.82000000000005"/>
    <n v="91.35"/>
    <x v="181"/>
    <m/>
  </r>
  <r>
    <d v="2022-09-23T00:00:00"/>
    <n v="579.13"/>
    <n v="86.15"/>
    <x v="181"/>
    <m/>
  </r>
  <r>
    <d v="2022-09-30T00:00:00"/>
    <n v="568.33000000000004"/>
    <n v="87.96"/>
    <x v="181"/>
    <m/>
  </r>
  <r>
    <d v="2022-10-07T00:00:00"/>
    <n v="632.66"/>
    <n v="97.92"/>
    <x v="182"/>
    <m/>
  </r>
  <r>
    <d v="2022-10-14T00:00:00"/>
    <n v="606.07000000000005"/>
    <n v="91.63"/>
    <x v="182"/>
    <m/>
  </r>
  <r>
    <d v="2022-10-21T00:00:00"/>
    <n v="597.42999999999995"/>
    <n v="93.5"/>
    <x v="182"/>
    <m/>
  </r>
  <r>
    <d v="2022-10-28T00:00:00"/>
    <n v="610.66999999999996"/>
    <n v="95.77"/>
    <x v="182"/>
    <m/>
  </r>
  <r>
    <d v="2022-11-04T00:00:00"/>
    <n v="617.41999999999996"/>
    <n v="98.57"/>
    <x v="183"/>
    <m/>
  </r>
  <r>
    <d v="2022-11-11T00:00:00"/>
    <n v="601.88"/>
    <n v="95.99"/>
    <x v="183"/>
    <m/>
  </r>
  <r>
    <d v="2022-11-18T00:00:00"/>
    <n v="525.98"/>
    <n v="87.62"/>
    <x v="183"/>
    <m/>
  </r>
  <r>
    <d v="2022-11-25T00:00:00"/>
    <n v="510.64"/>
    <n v="83.63"/>
    <x v="183"/>
    <m/>
  </r>
  <r>
    <d v="2022-12-02T00:00:00"/>
    <n v="519.87"/>
    <n v="85.57"/>
    <x v="184"/>
    <m/>
  </r>
  <r>
    <d v="2022-12-09T00:00:00"/>
    <n v="472.56"/>
    <n v="76.099999999999994"/>
    <x v="184"/>
    <m/>
  </r>
  <r>
    <d v="2022-12-16T00:00:00"/>
    <n v="481.38"/>
    <n v="79.040000000000006"/>
    <x v="184"/>
    <m/>
  </r>
  <r>
    <d v="2022-12-23T00:00:00"/>
    <n v="507.92"/>
    <n v="83.92"/>
    <x v="184"/>
    <m/>
  </r>
  <r>
    <d v="2022-12-30T00:00:00"/>
    <n v="533.02"/>
    <n v="85.91"/>
    <x v="184"/>
    <m/>
  </r>
  <r>
    <d v="2023-01-06T00:00:00"/>
    <n v="478.52"/>
    <n v="78.569999999999993"/>
    <x v="185"/>
    <m/>
  </r>
  <r>
    <d v="2023-01-13T00:00:00"/>
    <n v="540.44000000000005"/>
    <n v="85.28"/>
    <x v="185"/>
    <m/>
  </r>
  <r>
    <d v="2023-01-20T00:00:00"/>
    <n v="566.27"/>
    <n v="87.63"/>
    <x v="185"/>
    <m/>
  </r>
  <r>
    <d v="2023-01-27T00:00:00"/>
    <n v="568.37"/>
    <n v="86.66"/>
    <x v="185"/>
    <m/>
  </r>
  <r>
    <d v="2023-02-03T00:00:00"/>
    <n v="515.20000000000005"/>
    <n v="79.94"/>
    <x v="186"/>
    <m/>
  </r>
  <r>
    <d v="2023-02-10T00:00:00"/>
    <n v="560.36"/>
    <n v="86.39"/>
    <x v="186"/>
    <m/>
  </r>
  <r>
    <d v="2023-02-17T00:00:00"/>
    <n v="531.16999999999996"/>
    <n v="83"/>
    <x v="186"/>
    <m/>
  </r>
  <r>
    <d v="2023-02-24T00:00:00"/>
    <n v="529.98"/>
    <n v="83.16"/>
    <x v="186"/>
    <m/>
  </r>
  <r>
    <d v="2023-03-03T00:00:00"/>
    <n v="548.26"/>
    <n v="85.83"/>
    <x v="187"/>
    <m/>
  </r>
  <r>
    <d v="2023-03-10T00:00:00"/>
    <n v="527.91"/>
    <n v="82.78"/>
    <x v="187"/>
    <m/>
  </r>
  <r>
    <d v="2023-03-17T00:00:00"/>
    <n v="464.23"/>
    <n v="72.97"/>
    <x v="187"/>
    <m/>
  </r>
  <r>
    <d v="2023-03-24T00:00:00"/>
    <n v="494.73"/>
    <n v="74.989999999999995"/>
    <x v="187"/>
    <m/>
  </r>
  <r>
    <d v="2023-03-31T00:00:00"/>
    <n v="532.61"/>
    <n v="79.77"/>
    <x v="187"/>
    <m/>
  </r>
  <r>
    <d v="2023-04-07T00:00:00"/>
    <n v="543.72"/>
    <n v="85.12"/>
    <x v="188"/>
    <m/>
  </r>
  <r>
    <d v="2023-04-14T00:00:00"/>
    <n v="547.83000000000004"/>
    <n v="86.31"/>
    <x v="188"/>
    <m/>
  </r>
  <r>
    <d v="2023-04-21T00:00:00"/>
    <n v="522.9"/>
    <n v="81.66"/>
    <x v="188"/>
    <m/>
  </r>
  <r>
    <d v="2023-04-28T00:00:00"/>
    <n v="519.07000000000005"/>
    <n v="79.540000000000006"/>
    <x v="188"/>
    <m/>
  </r>
  <r>
    <d v="2023-05-05T00:00:00"/>
    <n v="484.45"/>
    <n v="75.3"/>
    <x v="189"/>
    <m/>
  </r>
  <r>
    <d v="2023-05-12T00:00:00"/>
    <n v="475.53"/>
    <n v="74.17"/>
    <x v="189"/>
    <m/>
  </r>
  <r>
    <d v="2023-05-19T00:00:00"/>
    <n v="491.96"/>
    <n v="75.58"/>
    <x v="189"/>
    <m/>
  </r>
  <r>
    <d v="2023-05-26T00:00:00"/>
    <n v="500.61"/>
    <n v="76.95"/>
    <x v="189"/>
    <m/>
  </r>
  <r>
    <d v="2023-06-02T00:00:00"/>
    <n v="493.92"/>
    <n v="76.13"/>
    <x v="190"/>
    <m/>
  </r>
  <r>
    <d v="2023-06-09T00:00:00"/>
    <n v="494.21"/>
    <n v="74.790000000000006"/>
    <x v="190"/>
    <m/>
  </r>
  <r>
    <d v="2023-06-16T00:00:00"/>
    <n v="515.04999999999995"/>
    <n v="76.61"/>
    <x v="190"/>
    <m/>
  </r>
  <r>
    <d v="2023-06-23T00:00:00"/>
    <n v="500.67"/>
    <n v="73.849999999999994"/>
    <x v="190"/>
    <m/>
  </r>
  <r>
    <d v="2023-06-30T00:00:00"/>
    <n v="508.62"/>
    <n v="74.900000000000006"/>
    <x v="190"/>
    <m/>
  </r>
  <r>
    <d v="2023-07-07T00:00:00"/>
    <n v="510.29"/>
    <n v="78.47"/>
    <x v="191"/>
    <m/>
  </r>
  <r>
    <d v="2023-07-14T00:00:00"/>
    <n v="512.4"/>
    <n v="79.87"/>
    <x v="191"/>
    <m/>
  </r>
  <r>
    <d v="2023-07-21T00:00:00"/>
    <n v="526.89"/>
    <n v="81.069999999999993"/>
    <x v="191"/>
    <m/>
  </r>
  <r>
    <d v="2023-07-28T00:00:00"/>
    <n v="568.21"/>
    <n v="84.99"/>
    <x v="191"/>
    <m/>
  </r>
  <r>
    <d v="2023-08-04T00:00:00"/>
    <n v="574.13"/>
    <n v="86.24"/>
    <x v="192"/>
    <m/>
  </r>
  <r>
    <d v="2023-08-11T00:00:00"/>
    <n v="576.08000000000004"/>
    <n v="86.81"/>
    <x v="192"/>
    <m/>
  </r>
  <r>
    <d v="2023-08-18T00:00:00"/>
    <n v="568.85"/>
    <n v="84.8"/>
    <x v="192"/>
    <m/>
  </r>
  <r>
    <d v="2023-08-25T00:00:00"/>
    <n v="567.99"/>
    <n v="84.48"/>
    <x v="192"/>
    <m/>
  </r>
  <r>
    <d v="2023-09-01T00:00:00"/>
    <n v="577.05999999999995"/>
    <n v="88.55"/>
    <x v="193"/>
    <m/>
  </r>
  <r>
    <d v="2023-09-08T00:00:00"/>
    <n v="588.04"/>
    <n v="90.65"/>
    <x v="193"/>
    <m/>
  </r>
  <r>
    <d v="2023-09-15T00:00:00"/>
    <n v="608.66"/>
    <n v="93.93"/>
    <x v="193"/>
    <m/>
  </r>
  <r>
    <d v="2023-09-22T00:00:00"/>
    <n v="594.02"/>
    <n v="93.27"/>
    <x v="193"/>
    <m/>
  </r>
  <r>
    <d v="2023-09-29T00:00:00"/>
    <n v="585.86"/>
    <n v="95.31"/>
    <x v="193"/>
    <m/>
  </r>
  <r>
    <d v="2023-10-06T00:00:00"/>
    <n v="539.12"/>
    <n v="84.58"/>
    <x v="194"/>
    <m/>
  </r>
  <r>
    <d v="2023-10-13T00:00:00"/>
    <n v="580.4"/>
    <n v="90.89"/>
    <x v="194"/>
    <m/>
  </r>
  <r>
    <d v="2023-10-20T00:00:00"/>
    <n v="588.29"/>
    <n v="92.16"/>
    <x v="194"/>
    <m/>
  </r>
  <r>
    <d v="2023-10-27T00:00:00"/>
    <n v="576.82000000000005"/>
    <n v="90.48"/>
    <x v="194"/>
    <m/>
  </r>
  <r>
    <d v="2023-11-03T00:00:00"/>
    <n v="547.02"/>
    <n v="84.89"/>
    <x v="195"/>
    <m/>
  </r>
  <r>
    <d v="2023-11-10T00:00:00"/>
    <n v="536.35"/>
    <n v="81.430000000000007"/>
    <x v="195"/>
    <m/>
  </r>
  <r>
    <d v="2023-11-17T00:00:00"/>
    <n v="543.6"/>
    <n v="80.61"/>
    <x v="195"/>
    <m/>
  </r>
  <r>
    <d v="2023-11-24T00:00:00"/>
    <n v="535.22"/>
    <n v="80.58"/>
    <x v="195"/>
    <m/>
  </r>
  <r>
    <d v="2023-12-01T00:00:00"/>
    <n v="528.96"/>
    <n v="78.88"/>
    <x v="196"/>
    <m/>
  </r>
  <r>
    <d v="2023-12-08T00:00:00"/>
    <n v="505.89"/>
    <n v="75.84"/>
    <x v="196"/>
    <m/>
  </r>
  <r>
    <d v="2023-12-15T00:00:00"/>
    <n v="520.59"/>
    <n v="76.55"/>
    <x v="196"/>
    <m/>
  </r>
  <r>
    <d v="2023-12-22T00:00:00"/>
    <n v="528.6"/>
    <n v="79.069999999999993"/>
    <x v="196"/>
    <m/>
  </r>
  <r>
    <d v="2023-12-29T00:00:00"/>
    <n v="520.20000000000005"/>
    <n v="77.040000000000006"/>
    <x v="196"/>
    <m/>
  </r>
  <r>
    <d v="2024-01-05T00:00:00"/>
    <n v="524.36"/>
    <n v="78.760000000000005"/>
    <x v="197"/>
    <m/>
  </r>
  <r>
    <d v="2024-01-12T00:00:00"/>
    <n v="512.83000000000004"/>
    <n v="78.290000000000006"/>
    <x v="197"/>
    <m/>
  </r>
  <r>
    <d v="2024-01-19T00:00:00"/>
    <n v="530.83000000000004"/>
    <n v="78.56"/>
    <x v="197"/>
    <m/>
  </r>
  <r>
    <d v="2024-01-26T00:00:00"/>
    <n v="569.27"/>
    <n v="83.55"/>
    <x v="197"/>
    <m/>
  </r>
  <r>
    <d v="2024-02-02T00:00:00"/>
    <n v="525.29999999999995"/>
    <n v="77.33"/>
    <x v="198"/>
    <m/>
  </r>
  <r>
    <d v="2024-02-09T00:00:00"/>
    <n v="557.52"/>
    <n v="82.19"/>
    <x v="198"/>
    <m/>
  </r>
  <r>
    <d v="2024-02-16T00:00:00"/>
    <n v="561.24"/>
    <n v="83.47"/>
    <x v="198"/>
    <m/>
  </r>
  <r>
    <d v="2024-02-23T00:00:00"/>
    <n v="550.91999999999996"/>
    <n v="81.62"/>
    <x v="198"/>
    <m/>
  </r>
  <r>
    <d v="2024-03-01T00:00:00"/>
    <n v="562.04999999999995"/>
    <n v="83.55"/>
    <x v="199"/>
    <m/>
  </r>
  <r>
    <d v="2024-03-08T00:00:00"/>
    <n v="555.37"/>
    <n v="82.08"/>
    <x v="199"/>
    <m/>
  </r>
  <r>
    <d v="2024-03-15T00:00:00"/>
    <n v="581.52"/>
    <n v="85.34"/>
    <x v="199"/>
    <m/>
  </r>
  <r>
    <d v="2024-03-22T00:00:00"/>
    <n v="583.38"/>
    <n v="85.43"/>
    <x v="199"/>
    <m/>
  </r>
  <r>
    <d v="2024-03-29T00:00:00"/>
    <n v="587.53"/>
    <n v="87.48"/>
    <x v="199"/>
    <m/>
  </r>
  <r>
    <d v="2024-04-05T00:00:00"/>
    <n v="601.46"/>
    <n v="91.17"/>
    <x v="200"/>
    <m/>
  </r>
  <r>
    <d v="2024-04-12T00:00:00"/>
    <n v="592.58000000000004"/>
    <n v="90.45"/>
    <x v="200"/>
    <m/>
  </r>
  <r>
    <d v="2024-04-19T00:00:00"/>
    <n v="583.74"/>
    <n v="87.29"/>
    <x v="200"/>
    <m/>
  </r>
  <r>
    <d v="2024-04-26T00:00:00"/>
    <n v="592.14"/>
    <n v="89.5"/>
    <x v="200"/>
    <m/>
  </r>
  <r>
    <d v="2024-05-03T00:00:00"/>
    <n v="546.51"/>
    <n v="82.96"/>
    <x v="201"/>
    <m/>
  </r>
  <r>
    <d v="2024-05-10T00:00:00"/>
    <n v="549.97"/>
    <n v="82.79"/>
    <x v="201"/>
    <m/>
  </r>
  <r>
    <d v="2024-05-17T00:00:00"/>
    <n v="552.72"/>
    <n v="83.98"/>
    <x v="201"/>
    <m/>
  </r>
  <r>
    <d v="2024-05-24T00:00:00"/>
    <n v="531.17999999999995"/>
    <n v="82.12"/>
    <x v="201"/>
    <m/>
  </r>
  <r>
    <d v="2024-05-31T00:00:00"/>
    <n v="533.29"/>
    <n v="81.62"/>
    <x v="201"/>
    <m/>
  </r>
  <r>
    <d v="2024-06-07T00:00:00"/>
    <n v="515.28"/>
    <n v="79.62"/>
    <x v="202"/>
    <m/>
  </r>
  <r>
    <d v="2024-06-14T00:00:00"/>
    <n v="537.67999999999995"/>
    <n v="82.62"/>
    <x v="202"/>
    <m/>
  </r>
  <r>
    <d v="2024-06-21T00:00:00"/>
    <n v="554.07000000000005"/>
    <n v="85.24"/>
    <x v="202"/>
    <m/>
  </r>
  <r>
    <d v="2024-06-28T00:00:00"/>
    <n v="563.21"/>
    <n v="86.41"/>
    <x v="202"/>
    <m/>
  </r>
  <r>
    <d v="2024-07-05T00:00:00"/>
    <n v="573.08000000000004"/>
    <n v="86.54"/>
    <x v="203"/>
    <m/>
  </r>
  <r>
    <d v="2024-07-12T00:00:00"/>
    <n v="555.79999999999995"/>
    <n v="85.03"/>
    <x v="203"/>
    <m/>
  </r>
  <r>
    <d v="2024-07-19T00:00:00"/>
    <n v="536.66999999999996"/>
    <n v="82.63"/>
    <x v="203"/>
    <m/>
  </r>
  <r>
    <d v="2024-07-26T00:00:00"/>
    <n v="525.14"/>
    <n v="81.13"/>
    <x v="203"/>
    <m/>
  </r>
  <r>
    <d v="2024-08-02T00:00:00"/>
    <n v="510.17"/>
    <n v="76.81"/>
    <x v="204"/>
    <m/>
  </r>
  <r>
    <d v="2024-08-09T00:00:00"/>
    <n v="526.69000000000005"/>
    <n v="79.66"/>
    <x v="204"/>
    <m/>
  </r>
  <r>
    <d v="2024-08-16T00:00:00"/>
    <n v="527.48"/>
    <n v="79.680000000000007"/>
    <x v="204"/>
    <m/>
  </r>
  <r>
    <d v="2024-08-23T00:00:00"/>
    <n v="525.97"/>
    <n v="79.02"/>
    <x v="204"/>
    <m/>
  </r>
  <r>
    <d v="2024-08-30T00:00:00"/>
    <n v="517.72"/>
    <n v="78.8"/>
    <x v="204"/>
    <m/>
  </r>
  <r>
    <d v="2024-09-06T00:00:00"/>
    <n v="477.94"/>
    <n v="71.06"/>
    <x v="205"/>
    <m/>
  </r>
  <r>
    <d v="2024-09-13T00:00:00"/>
    <n v="474.36"/>
    <n v="71.61"/>
    <x v="205"/>
    <m/>
  </r>
  <r>
    <d v="2024-09-20T00:00:00"/>
    <n v="501.65"/>
    <n v="74.489999999999995"/>
    <x v="205"/>
    <m/>
  </r>
  <r>
    <d v="2024-09-27T00:00:00"/>
    <n v="491.62"/>
    <n v="71.98"/>
    <x v="205"/>
    <m/>
  </r>
  <r>
    <d v="2024-10-04T00:00:00"/>
    <n v="517.36"/>
    <n v="78.05"/>
    <x v="206"/>
    <m/>
  </r>
  <r>
    <d v="2024-10-11T00:00:00"/>
    <n v="531.85"/>
    <n v="79.040000000000006"/>
    <x v="206"/>
    <m/>
  </r>
  <r>
    <d v="2024-10-18T00:00:00"/>
    <n v="494.21"/>
    <n v="73.06"/>
    <x v="206"/>
    <m/>
  </r>
  <r>
    <d v="2024-10-25T00:00:00"/>
    <n v="510.45"/>
    <n v="76.05"/>
    <x v="206"/>
    <m/>
  </r>
  <r>
    <d v="2024-11-01T00:00:00"/>
    <n v="488.98"/>
    <n v="73.099999999999994"/>
    <x v="207"/>
    <m/>
  </r>
  <r>
    <d v="2024-11-08T00:00:00"/>
    <n v="496.92"/>
    <n v="73.87"/>
    <x v="207"/>
    <m/>
  </r>
  <r>
    <d v="2024-11-15T00:00:00"/>
    <n v="479.26"/>
    <n v="71.040000000000006"/>
    <x v="207"/>
    <m/>
  </r>
  <r>
    <d v="2024-11-22T00:00:00"/>
    <n v="505.2"/>
    <n v="75.17"/>
    <x v="207"/>
    <m/>
  </r>
  <r>
    <d v="2024-11-29T00:00:00"/>
    <n v="481.35"/>
    <n v="72.94"/>
    <x v="207"/>
    <m/>
  </r>
  <r>
    <d v="2024-12-06T00:00:00"/>
    <n v="477.42"/>
    <n v="71.12"/>
    <x v="208"/>
    <m/>
  </r>
  <r>
    <d v="2024-12-13T00:00:00"/>
    <n v="516.41"/>
    <n v="74.489999999999995"/>
    <x v="208"/>
    <m/>
  </r>
  <r>
    <d v="2024-12-20T00:00:00"/>
    <n v="509.95"/>
    <n v="72.94"/>
    <x v="208"/>
    <m/>
  </r>
  <r>
    <d v="2024-12-27T00:00:00"/>
    <n v="516.75"/>
    <n v="74.17"/>
    <x v="208"/>
    <m/>
  </r>
  <r>
    <d v="2025-01-03T00:00:00"/>
    <n v="510.03"/>
    <n v="76.510000000000005"/>
    <x v="209"/>
    <m/>
  </r>
  <r>
    <d v="2025-01-10T00:00:00"/>
    <n v="528.49"/>
    <n v="79.760000000000005"/>
    <x v="209"/>
    <m/>
  </r>
  <r>
    <d v="2025-01-17T00:00:00"/>
    <n v="534.74"/>
    <n v="80.790000000000006"/>
    <x v="209"/>
    <m/>
  </r>
  <r>
    <d v="2025-01-24T00:00:00"/>
    <n v="528.59"/>
    <n v="78.5"/>
    <x v="209"/>
    <m/>
  </r>
  <r>
    <d v="2025-01-31T00:00:00"/>
    <n v="523.03"/>
    <n v="76.760000000000005"/>
    <x v="209"/>
    <m/>
  </r>
  <r>
    <d v="2025-02-07T00:00:00"/>
    <n v="504.59"/>
    <n v="74.66"/>
    <x v="210"/>
    <m/>
  </r>
  <r>
    <d v="2025-02-14T00:00:00"/>
    <n v="508"/>
    <n v="74.739999999999995"/>
    <x v="210"/>
    <m/>
  </r>
  <r>
    <d v="2025-02-21T00:00:00"/>
    <n v="507.81"/>
    <n v="74.430000000000007"/>
    <x v="210"/>
    <m/>
  </r>
  <r>
    <d v="2025-02-28T00:00:00"/>
    <n v="490.29"/>
    <n v="73.180000000000007"/>
    <x v="210"/>
    <m/>
  </r>
  <r>
    <d v="2025-03-07T00:00:00"/>
    <n v="460.81"/>
    <n v="70.36"/>
    <x v="211"/>
    <m/>
  </r>
  <r>
    <d v="2025-03-14T00:00:00"/>
    <n v="464.85"/>
    <n v="70.58"/>
    <x v="211"/>
    <m/>
  </r>
  <r>
    <d v="2025-03-21T00:00:00"/>
    <n v="470.58"/>
    <n v="72.16"/>
    <x v="211"/>
    <m/>
  </r>
  <r>
    <d v="2025-03-28T00:00:00"/>
    <n v="478.07"/>
    <n v="73.63"/>
    <x v="211"/>
    <m/>
  </r>
  <r>
    <d v="2025-04-04T00:00:00"/>
    <n v="432.19"/>
    <n v="65.58"/>
    <x v="212"/>
    <m/>
  </r>
  <r>
    <d v="2025-04-11T00:00:00"/>
    <n v="430.91"/>
    <n v="64.760000000000005"/>
    <x v="212"/>
    <m/>
  </r>
  <r>
    <d v="2025-04-18T00:00:00"/>
    <n v="443.65"/>
    <n v="67.959999999999994"/>
    <x v="212"/>
    <m/>
  </r>
  <r>
    <d v="2025-04-25T00:00:00"/>
    <n v="442.04"/>
    <n v="66.87"/>
    <x v="212"/>
    <m/>
  </r>
  <r>
    <d v="2025-05-02T00:00:00"/>
    <n v="415.88"/>
    <n v="61.29"/>
    <x v="213"/>
    <m/>
  </r>
  <r>
    <d v="2025-05-09T00:00:00"/>
    <n v="435.45"/>
    <n v="63.91"/>
    <x v="213"/>
    <m/>
  </r>
  <r>
    <d v="2025-05-16T00:00:00"/>
    <n v="448.95"/>
    <n v="65.41"/>
    <x v="213"/>
    <m/>
  </r>
  <r>
    <d v="2025-05-23T00:00:00"/>
    <n v="447.67"/>
    <n v="64.78"/>
    <x v="213"/>
    <m/>
  </r>
  <r>
    <d v="2025-05-30T00:00:00"/>
    <n v="442.4"/>
    <n v="63.9"/>
    <x v="213"/>
    <m/>
  </r>
  <r>
    <d v="2025-06-06T00:00:00"/>
    <n v="450.48"/>
    <n v="66.47"/>
    <x v="214"/>
    <m/>
  </r>
  <r>
    <d v="2025-06-13T00:00:00"/>
    <n v="493.04"/>
    <n v="74.23"/>
    <x v="214"/>
    <m/>
  </r>
  <r>
    <d v="2025-06-20T00:00:00"/>
    <n v="510.89"/>
    <n v="77.010000000000005"/>
    <x v="214"/>
    <m/>
  </r>
  <r>
    <d v="2025-06-27T00:00:00"/>
    <n v="473.07"/>
    <n v="67.77"/>
    <x v="214"/>
    <m/>
  </r>
  <r>
    <d v="2025-07-04T00:00:00"/>
    <n v="465.63"/>
    <n v="68.8"/>
    <x v="215"/>
    <m/>
  </r>
  <r>
    <d v="2025-07-11T00:00:00"/>
    <n v="475.18"/>
    <n v="70.36"/>
    <x v="215"/>
    <m/>
  </r>
  <r>
    <d v="2025-07-18T00:00:00"/>
    <n v="471.09"/>
    <n v="69.28"/>
    <x v="215"/>
    <m/>
  </r>
  <r>
    <d v="2025-07-25T00:00:00"/>
    <n v="462.09"/>
    <n v="68.44"/>
    <x v="215"/>
    <m/>
  </r>
  <r>
    <d v="2025-08-01T00:00:00"/>
    <n v="469.39"/>
    <n v="69.67"/>
    <x v="216"/>
    <m/>
  </r>
  <r>
    <d v="2025-08-08T00:00:00"/>
    <n v="453.62"/>
    <n v="66.59"/>
    <x v="216"/>
    <m/>
  </r>
  <r>
    <d v="2025-08-15T00:00:00"/>
    <n v="449.18"/>
    <n v="65.849999999999994"/>
    <x v="216"/>
    <m/>
  </r>
  <r>
    <d v="2025-08-22T00:00:00"/>
    <n v="456.94"/>
    <n v="67.73"/>
    <x v="216"/>
    <m/>
  </r>
  <r>
    <d v="2025-08-29T00:00:00"/>
    <n v="456.32"/>
    <n v="68.12"/>
    <x v="216"/>
    <m/>
  </r>
  <r>
    <d v="2025-09-05T00:00:00"/>
    <n v="434.73"/>
    <n v="65.5"/>
    <x v="217"/>
    <m/>
  </r>
  <r>
    <d v="2025-09-12T00:00:00"/>
    <n v="433.7"/>
    <n v="66.989999999999995"/>
    <x v="217"/>
    <m/>
  </r>
  <r>
    <d v="2025-09-19T00:00:00"/>
    <n v="428.06"/>
    <n v="66.680000000000007"/>
    <x v="217"/>
    <m/>
  </r>
  <r>
    <d v="2025-09-26T00:00:00"/>
    <n v="443.91"/>
    <n v="70.13"/>
    <x v="217"/>
    <m/>
  </r>
  <r>
    <d v="2025-10-03T00:00:00"/>
    <n v="419.01"/>
    <n v="64.53"/>
    <x v="218"/>
    <m/>
  </r>
  <r>
    <d v="2025-10-10T00:00:00"/>
    <n v="402.82"/>
    <n v="62.73"/>
    <x v="218"/>
    <m/>
  </r>
  <r>
    <d v="2025-10-17T00:00:00"/>
    <n v="394.97"/>
    <n v="61.29"/>
    <x v="218"/>
    <m/>
  </r>
  <r>
    <d v="2025-10-24T00:00:00"/>
    <n v="421.27"/>
    <n v="65.94"/>
    <x v="218"/>
    <m/>
  </r>
  <r>
    <d v="2025-10-31T00:00:00"/>
    <n v="419.84"/>
    <n v="65.069999999999993"/>
    <x v="218"/>
    <m/>
  </r>
  <r>
    <d v="2025-11-07T00:00:00"/>
    <n v="415.79"/>
    <n v="63.63"/>
    <x v="219"/>
    <m/>
  </r>
  <r>
    <d v="2025-11-14T00:00:00"/>
    <n v="414.2"/>
    <n v="64.39"/>
    <x v="219"/>
    <m/>
  </r>
  <r>
    <d v="2025-11-21T00:00:00"/>
    <n v="393.49"/>
    <n v="62.56"/>
    <x v="219"/>
    <m/>
  </r>
  <r>
    <d v="2025-11-28T00:00:00"/>
    <n v="386.86"/>
    <n v="63.2"/>
    <x v="219"/>
    <m/>
  </r>
  <r>
    <d v="2025-12-05T00:00:00"/>
    <n v="392.66"/>
    <n v="63.75"/>
    <x v="220"/>
    <m/>
  </r>
  <r>
    <d v="2025-12-12T00:00:00"/>
    <n v="377.8"/>
    <n v="61.12"/>
    <x v="220"/>
    <m/>
  </r>
  <r>
    <d v="2025-12-19T00:00:00"/>
    <n v="371.89"/>
    <n v="60.47"/>
    <x v="220"/>
    <m/>
  </r>
  <r>
    <d v="2025-12-26T00:00:00"/>
    <n v="380.84"/>
    <n v="60.64"/>
    <x v="220"/>
    <m/>
  </r>
  <r>
    <d v="2026-01-02T00:00:00"/>
    <n v="375.21"/>
    <n v="60.75"/>
    <x v="221"/>
    <m/>
  </r>
  <r>
    <d v="2026-01-09T00:00:00"/>
    <n v="383.53"/>
    <n v="63.34"/>
    <x v="221"/>
    <m/>
  </r>
  <r>
    <d v="2026-01-16T00:00:00"/>
    <n v="388.37"/>
    <n v="64.13"/>
    <x v="221"/>
    <m/>
  </r>
  <r>
    <d v="2026-01-23T00:00:00"/>
    <n v="396.51"/>
    <n v="65.88"/>
    <x v="221"/>
    <m/>
  </r>
  <r>
    <d v="2026-01-30T00:00:00"/>
    <n v="417.34"/>
    <n v="70.69"/>
    <x v="221"/>
    <m/>
  </r>
  <r>
    <d v="2026-02-06T00:00:00"/>
    <n v="415.82"/>
    <n v="68.05"/>
    <x v="222"/>
    <m/>
  </r>
  <r>
    <d v="2026-02-13T00:00:00"/>
    <n v="414.14"/>
    <n v="67.75"/>
    <x v="222"/>
    <m/>
  </r>
  <r>
    <d v="2026-02-16T00:00:00"/>
    <n v="419.39"/>
    <n v="68.55"/>
    <x v="2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4A04D-0FBF-4EC1-A201-B9902D98EB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227" firstHeaderRow="0" firstDataRow="1" firstDataCol="1"/>
  <pivotFields count="8">
    <pivotField numFmtId="14" showAll="0"/>
    <pivotField dataField="1" showAll="0"/>
    <pivotField dataField="1" showAll="0"/>
    <pivotField axis="axisRow" numFmtId="14" showAll="0">
      <items count="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1">
    <field x="3"/>
  </rowFields>
  <rowItems count="2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otterdam Fuel Oil VLSFO 0.5% Sulfur - Futures" fld="1" subtotal="average" baseField="3" baseItem="0"/>
    <dataField name="Average of Brent Crude Oil Futures" fld="2" subtotal="average" baseField="3" baseItem="0"/>
  </dataFields>
  <chartFormats count="2"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42A567-81D6-43E9-A84B-10130DF3ECD6}" name="Table2" displayName="Table2" ref="A1:E116" totalsRowShown="0">
  <autoFilter ref="A1:E116" xr:uid="{6642A567-81D6-43E9-A84B-10130DF3ECD6}"/>
  <tableColumns count="5">
    <tableColumn id="1" xr3:uid="{7C7C0A64-DA21-4306-928A-B8598E130109}" name="Timeline" dataDxfId="2"/>
    <tableColumn id="2" xr3:uid="{CFF487EC-C9AE-4B7B-A371-F465C3F5D881}" name="Values"/>
    <tableColumn id="3" xr3:uid="{2C78A871-A733-4352-B725-B46CA6E8C07F}" name="Forecast">
      <calculatedColumnFormula>_xlfn.FORECAST.ETS(A2,$B$2:$B$93,$A$2:$A$93,1,1)</calculatedColumnFormula>
    </tableColumn>
    <tableColumn id="4" xr3:uid="{9CC86238-34AB-4B9C-9F78-FB798EB76CAD}" name="Lower Confidence Bound" dataDxfId="1">
      <calculatedColumnFormula>C2-_xlfn.FORECAST.ETS.CONFINT(A2,$B$2:$B$93,$A$2:$A$93,0.95,1,1)</calculatedColumnFormula>
    </tableColumn>
    <tableColumn id="5" xr3:uid="{3E3E19E0-F94D-415D-950A-E234E9D88AA4}" name="Upper Confidence Bound" dataDxfId="0">
      <calculatedColumnFormula>C2+_xlfn.FORECAST.ETS.CONFINT(A2,$B$2:$B$93,$A$2:$A$93,0.95,1,1)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6DAB-5C25-41D5-82DF-B23F1DB756F8}">
  <dimension ref="A1:D970"/>
  <sheetViews>
    <sheetView topLeftCell="A31" workbookViewId="0">
      <selection activeCell="C13" sqref="C12:C13"/>
    </sheetView>
  </sheetViews>
  <sheetFormatPr defaultRowHeight="14.4" x14ac:dyDescent="0.3"/>
  <cols>
    <col min="1" max="1" width="10.33203125" bestFit="1" customWidth="1"/>
    <col min="2" max="2" width="39.109375" bestFit="1" customWidth="1"/>
    <col min="3" max="3" width="19.777343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39297</v>
      </c>
      <c r="C2">
        <v>74.75</v>
      </c>
      <c r="D2" s="1">
        <f>EOMONTH(A2,0)</f>
        <v>39325</v>
      </c>
    </row>
    <row r="3" spans="1:4" x14ac:dyDescent="0.3">
      <c r="A3" s="1">
        <v>39304</v>
      </c>
      <c r="C3">
        <v>70.39</v>
      </c>
      <c r="D3" s="1">
        <f t="shared" ref="D3:D66" si="0">EOMONTH(A3,0)</f>
        <v>39325</v>
      </c>
    </row>
    <row r="4" spans="1:4" x14ac:dyDescent="0.3">
      <c r="A4" s="1">
        <v>39311</v>
      </c>
      <c r="C4">
        <v>70.44</v>
      </c>
      <c r="D4" s="1">
        <f t="shared" si="0"/>
        <v>39325</v>
      </c>
    </row>
    <row r="5" spans="1:4" x14ac:dyDescent="0.3">
      <c r="A5" s="1">
        <v>39318</v>
      </c>
      <c r="C5">
        <v>70.62</v>
      </c>
      <c r="D5" s="1">
        <f t="shared" si="0"/>
        <v>39325</v>
      </c>
    </row>
    <row r="6" spans="1:4" x14ac:dyDescent="0.3">
      <c r="A6" s="1">
        <v>39325</v>
      </c>
      <c r="C6">
        <v>72.69</v>
      </c>
      <c r="D6" s="1">
        <f t="shared" si="0"/>
        <v>39325</v>
      </c>
    </row>
    <row r="7" spans="1:4" x14ac:dyDescent="0.3">
      <c r="A7" s="1">
        <v>39332</v>
      </c>
      <c r="C7">
        <v>75.069999999999993</v>
      </c>
      <c r="D7" s="1">
        <f t="shared" si="0"/>
        <v>39355</v>
      </c>
    </row>
    <row r="8" spans="1:4" x14ac:dyDescent="0.3">
      <c r="A8" s="1">
        <v>39339</v>
      </c>
      <c r="C8">
        <v>76.22</v>
      </c>
      <c r="D8" s="1">
        <f t="shared" si="0"/>
        <v>39355</v>
      </c>
    </row>
    <row r="9" spans="1:4" x14ac:dyDescent="0.3">
      <c r="A9" s="1">
        <v>39346</v>
      </c>
      <c r="C9">
        <v>79.3</v>
      </c>
      <c r="D9" s="1">
        <f t="shared" si="0"/>
        <v>39355</v>
      </c>
    </row>
    <row r="10" spans="1:4" x14ac:dyDescent="0.3">
      <c r="A10" s="1">
        <v>39353</v>
      </c>
      <c r="C10">
        <v>79.17</v>
      </c>
      <c r="D10" s="1">
        <f t="shared" si="0"/>
        <v>39355</v>
      </c>
    </row>
    <row r="11" spans="1:4" x14ac:dyDescent="0.3">
      <c r="A11" s="1">
        <v>39360</v>
      </c>
      <c r="C11">
        <v>78.900000000000006</v>
      </c>
      <c r="D11" s="1">
        <f t="shared" si="0"/>
        <v>39386</v>
      </c>
    </row>
    <row r="12" spans="1:4" x14ac:dyDescent="0.3">
      <c r="A12" s="1">
        <v>39367</v>
      </c>
      <c r="C12">
        <v>80.55</v>
      </c>
      <c r="D12" s="1">
        <f t="shared" si="0"/>
        <v>39386</v>
      </c>
    </row>
    <row r="13" spans="1:4" x14ac:dyDescent="0.3">
      <c r="A13" s="1">
        <v>39374</v>
      </c>
      <c r="C13">
        <v>83.79</v>
      </c>
      <c r="D13" s="1">
        <f t="shared" si="0"/>
        <v>39386</v>
      </c>
    </row>
    <row r="14" spans="1:4" x14ac:dyDescent="0.3">
      <c r="A14" s="1">
        <v>39381</v>
      </c>
      <c r="C14">
        <v>88.69</v>
      </c>
      <c r="D14" s="1">
        <f t="shared" si="0"/>
        <v>39386</v>
      </c>
    </row>
    <row r="15" spans="1:4" x14ac:dyDescent="0.3">
      <c r="A15" s="1">
        <v>39388</v>
      </c>
      <c r="C15">
        <v>92.08</v>
      </c>
      <c r="D15" s="1">
        <f t="shared" si="0"/>
        <v>39416</v>
      </c>
    </row>
    <row r="16" spans="1:4" x14ac:dyDescent="0.3">
      <c r="A16" s="1">
        <v>39395</v>
      </c>
      <c r="C16">
        <v>93.18</v>
      </c>
      <c r="D16" s="1">
        <f t="shared" si="0"/>
        <v>39416</v>
      </c>
    </row>
    <row r="17" spans="1:4" x14ac:dyDescent="0.3">
      <c r="A17" s="1">
        <v>39402</v>
      </c>
      <c r="C17">
        <v>91.62</v>
      </c>
      <c r="D17" s="1">
        <f t="shared" si="0"/>
        <v>39416</v>
      </c>
    </row>
    <row r="18" spans="1:4" x14ac:dyDescent="0.3">
      <c r="A18" s="1">
        <v>39409</v>
      </c>
      <c r="C18">
        <v>95.76</v>
      </c>
      <c r="D18" s="1">
        <f t="shared" si="0"/>
        <v>39416</v>
      </c>
    </row>
    <row r="19" spans="1:4" x14ac:dyDescent="0.3">
      <c r="A19" s="1">
        <v>39416</v>
      </c>
      <c r="C19">
        <v>88.26</v>
      </c>
      <c r="D19" s="1">
        <f t="shared" si="0"/>
        <v>39416</v>
      </c>
    </row>
    <row r="20" spans="1:4" x14ac:dyDescent="0.3">
      <c r="A20" s="1">
        <v>39423</v>
      </c>
      <c r="C20">
        <v>88.64</v>
      </c>
      <c r="D20" s="1">
        <f t="shared" si="0"/>
        <v>39447</v>
      </c>
    </row>
    <row r="21" spans="1:4" x14ac:dyDescent="0.3">
      <c r="A21" s="1">
        <v>39430</v>
      </c>
      <c r="C21">
        <v>92.67</v>
      </c>
      <c r="D21" s="1">
        <f t="shared" si="0"/>
        <v>39447</v>
      </c>
    </row>
    <row r="22" spans="1:4" x14ac:dyDescent="0.3">
      <c r="A22" s="1">
        <v>39437</v>
      </c>
      <c r="C22">
        <v>92.46</v>
      </c>
      <c r="D22" s="1">
        <f t="shared" si="0"/>
        <v>39447</v>
      </c>
    </row>
    <row r="23" spans="1:4" x14ac:dyDescent="0.3">
      <c r="A23" s="1">
        <v>39444</v>
      </c>
      <c r="C23">
        <v>93.88</v>
      </c>
      <c r="D23" s="1">
        <f t="shared" si="0"/>
        <v>39447</v>
      </c>
    </row>
    <row r="24" spans="1:4" x14ac:dyDescent="0.3">
      <c r="A24" s="1">
        <v>39451</v>
      </c>
      <c r="C24">
        <v>96.79</v>
      </c>
      <c r="D24" s="1">
        <f t="shared" si="0"/>
        <v>39478</v>
      </c>
    </row>
    <row r="25" spans="1:4" x14ac:dyDescent="0.3">
      <c r="A25" s="1">
        <v>39458</v>
      </c>
      <c r="C25">
        <v>91.07</v>
      </c>
      <c r="D25" s="1">
        <f t="shared" si="0"/>
        <v>39478</v>
      </c>
    </row>
    <row r="26" spans="1:4" x14ac:dyDescent="0.3">
      <c r="A26" s="1">
        <v>39465</v>
      </c>
      <c r="C26">
        <v>89.23</v>
      </c>
      <c r="D26" s="1">
        <f t="shared" si="0"/>
        <v>39478</v>
      </c>
    </row>
    <row r="27" spans="1:4" x14ac:dyDescent="0.3">
      <c r="A27" s="1">
        <v>39472</v>
      </c>
      <c r="C27">
        <v>90.9</v>
      </c>
      <c r="D27" s="1">
        <f t="shared" si="0"/>
        <v>39478</v>
      </c>
    </row>
    <row r="28" spans="1:4" x14ac:dyDescent="0.3">
      <c r="A28" s="1">
        <v>39479</v>
      </c>
      <c r="C28">
        <v>89.44</v>
      </c>
      <c r="D28" s="1">
        <f t="shared" si="0"/>
        <v>39507</v>
      </c>
    </row>
    <row r="29" spans="1:4" x14ac:dyDescent="0.3">
      <c r="A29" s="1">
        <v>39486</v>
      </c>
      <c r="C29">
        <v>91.94</v>
      </c>
      <c r="D29" s="1">
        <f t="shared" si="0"/>
        <v>39507</v>
      </c>
    </row>
    <row r="30" spans="1:4" x14ac:dyDescent="0.3">
      <c r="A30" s="1">
        <v>39493</v>
      </c>
      <c r="C30">
        <v>94.63</v>
      </c>
      <c r="D30" s="1">
        <f t="shared" si="0"/>
        <v>39507</v>
      </c>
    </row>
    <row r="31" spans="1:4" x14ac:dyDescent="0.3">
      <c r="A31" s="1">
        <v>39500</v>
      </c>
      <c r="C31">
        <v>97.01</v>
      </c>
      <c r="D31" s="1">
        <f t="shared" si="0"/>
        <v>39507</v>
      </c>
    </row>
    <row r="32" spans="1:4" x14ac:dyDescent="0.3">
      <c r="A32" s="1">
        <v>39507</v>
      </c>
      <c r="C32">
        <v>100.1</v>
      </c>
      <c r="D32" s="1">
        <f t="shared" si="0"/>
        <v>39507</v>
      </c>
    </row>
    <row r="33" spans="1:4" x14ac:dyDescent="0.3">
      <c r="A33" s="1">
        <v>39514</v>
      </c>
      <c r="C33">
        <v>102.38</v>
      </c>
      <c r="D33" s="1">
        <f t="shared" si="0"/>
        <v>39538</v>
      </c>
    </row>
    <row r="34" spans="1:4" x14ac:dyDescent="0.3">
      <c r="A34" s="1">
        <v>39521</v>
      </c>
      <c r="C34">
        <v>107.55</v>
      </c>
      <c r="D34" s="1">
        <f t="shared" si="0"/>
        <v>39538</v>
      </c>
    </row>
    <row r="35" spans="1:4" x14ac:dyDescent="0.3">
      <c r="A35" s="1">
        <v>39528</v>
      </c>
      <c r="C35">
        <v>100.38</v>
      </c>
      <c r="D35" s="1">
        <f t="shared" si="0"/>
        <v>39538</v>
      </c>
    </row>
    <row r="36" spans="1:4" x14ac:dyDescent="0.3">
      <c r="A36" s="1">
        <v>39535</v>
      </c>
      <c r="C36">
        <v>103.77</v>
      </c>
      <c r="D36" s="1">
        <f t="shared" si="0"/>
        <v>39538</v>
      </c>
    </row>
    <row r="37" spans="1:4" x14ac:dyDescent="0.3">
      <c r="A37" s="1">
        <v>39542</v>
      </c>
      <c r="C37">
        <v>104.9</v>
      </c>
      <c r="D37" s="1">
        <f t="shared" si="0"/>
        <v>39568</v>
      </c>
    </row>
    <row r="38" spans="1:4" x14ac:dyDescent="0.3">
      <c r="A38" s="1">
        <v>39549</v>
      </c>
      <c r="C38">
        <v>108.75</v>
      </c>
      <c r="D38" s="1">
        <f t="shared" si="0"/>
        <v>39568</v>
      </c>
    </row>
    <row r="39" spans="1:4" x14ac:dyDescent="0.3">
      <c r="A39" s="1">
        <v>39556</v>
      </c>
      <c r="C39">
        <v>113.92</v>
      </c>
      <c r="D39" s="1">
        <f t="shared" si="0"/>
        <v>39568</v>
      </c>
    </row>
    <row r="40" spans="1:4" x14ac:dyDescent="0.3">
      <c r="A40" s="1">
        <v>39563</v>
      </c>
      <c r="C40">
        <v>116.34</v>
      </c>
      <c r="D40" s="1">
        <f t="shared" si="0"/>
        <v>39568</v>
      </c>
    </row>
    <row r="41" spans="1:4" x14ac:dyDescent="0.3">
      <c r="A41" s="1">
        <v>39570</v>
      </c>
      <c r="C41">
        <v>114.56</v>
      </c>
      <c r="D41" s="1">
        <f t="shared" si="0"/>
        <v>39599</v>
      </c>
    </row>
    <row r="42" spans="1:4" x14ac:dyDescent="0.3">
      <c r="A42" s="1">
        <v>39577</v>
      </c>
      <c r="C42">
        <v>125.4</v>
      </c>
      <c r="D42" s="1">
        <f t="shared" si="0"/>
        <v>39599</v>
      </c>
    </row>
    <row r="43" spans="1:4" x14ac:dyDescent="0.3">
      <c r="A43" s="1">
        <v>39584</v>
      </c>
      <c r="C43">
        <v>124.99</v>
      </c>
      <c r="D43" s="1">
        <f t="shared" si="0"/>
        <v>39599</v>
      </c>
    </row>
    <row r="44" spans="1:4" x14ac:dyDescent="0.3">
      <c r="A44" s="1">
        <v>39591</v>
      </c>
      <c r="C44">
        <v>131.57</v>
      </c>
      <c r="D44" s="1">
        <f t="shared" si="0"/>
        <v>39599</v>
      </c>
    </row>
    <row r="45" spans="1:4" x14ac:dyDescent="0.3">
      <c r="A45" s="1">
        <v>39598</v>
      </c>
      <c r="C45">
        <v>127.78</v>
      </c>
      <c r="D45" s="1">
        <f t="shared" si="0"/>
        <v>39599</v>
      </c>
    </row>
    <row r="46" spans="1:4" x14ac:dyDescent="0.3">
      <c r="A46" s="1">
        <v>39605</v>
      </c>
      <c r="C46">
        <v>137.69</v>
      </c>
      <c r="D46" s="1">
        <f t="shared" si="0"/>
        <v>39629</v>
      </c>
    </row>
    <row r="47" spans="1:4" x14ac:dyDescent="0.3">
      <c r="A47" s="1">
        <v>39612</v>
      </c>
      <c r="C47">
        <v>134.25</v>
      </c>
      <c r="D47" s="1">
        <f t="shared" si="0"/>
        <v>39629</v>
      </c>
    </row>
    <row r="48" spans="1:4" x14ac:dyDescent="0.3">
      <c r="A48" s="1">
        <v>39619</v>
      </c>
      <c r="C48">
        <v>134.86000000000001</v>
      </c>
      <c r="D48" s="1">
        <f t="shared" si="0"/>
        <v>39629</v>
      </c>
    </row>
    <row r="49" spans="1:4" x14ac:dyDescent="0.3">
      <c r="A49" s="1">
        <v>39626</v>
      </c>
      <c r="C49">
        <v>140.31</v>
      </c>
      <c r="D49" s="1">
        <f t="shared" si="0"/>
        <v>39629</v>
      </c>
    </row>
    <row r="50" spans="1:4" x14ac:dyDescent="0.3">
      <c r="A50" s="1">
        <v>39633</v>
      </c>
      <c r="C50">
        <v>146.08000000000001</v>
      </c>
      <c r="D50" s="1">
        <f t="shared" si="0"/>
        <v>39660</v>
      </c>
    </row>
    <row r="51" spans="1:4" x14ac:dyDescent="0.3">
      <c r="A51" s="1">
        <v>39640</v>
      </c>
      <c r="C51">
        <v>144.49</v>
      </c>
      <c r="D51" s="1">
        <f t="shared" si="0"/>
        <v>39660</v>
      </c>
    </row>
    <row r="52" spans="1:4" x14ac:dyDescent="0.3">
      <c r="A52" s="1">
        <v>39647</v>
      </c>
      <c r="C52">
        <v>130.19</v>
      </c>
      <c r="D52" s="1">
        <f t="shared" si="0"/>
        <v>39660</v>
      </c>
    </row>
    <row r="53" spans="1:4" x14ac:dyDescent="0.3">
      <c r="A53" s="1">
        <v>39654</v>
      </c>
      <c r="C53">
        <v>124.52</v>
      </c>
      <c r="D53" s="1">
        <f t="shared" si="0"/>
        <v>39660</v>
      </c>
    </row>
    <row r="54" spans="1:4" x14ac:dyDescent="0.3">
      <c r="A54" s="1">
        <v>39661</v>
      </c>
      <c r="C54">
        <v>124.18</v>
      </c>
      <c r="D54" s="1">
        <f t="shared" si="0"/>
        <v>39691</v>
      </c>
    </row>
    <row r="55" spans="1:4" x14ac:dyDescent="0.3">
      <c r="A55" s="1">
        <v>39668</v>
      </c>
      <c r="C55">
        <v>113.33</v>
      </c>
      <c r="D55" s="1">
        <f t="shared" si="0"/>
        <v>39691</v>
      </c>
    </row>
    <row r="56" spans="1:4" x14ac:dyDescent="0.3">
      <c r="A56" s="1">
        <v>39675</v>
      </c>
      <c r="C56">
        <v>112.55</v>
      </c>
      <c r="D56" s="1">
        <f t="shared" si="0"/>
        <v>39691</v>
      </c>
    </row>
    <row r="57" spans="1:4" x14ac:dyDescent="0.3">
      <c r="A57" s="1">
        <v>39682</v>
      </c>
      <c r="C57">
        <v>113.92</v>
      </c>
      <c r="D57" s="1">
        <f t="shared" si="0"/>
        <v>39691</v>
      </c>
    </row>
    <row r="58" spans="1:4" x14ac:dyDescent="0.3">
      <c r="A58" s="1">
        <v>39689</v>
      </c>
      <c r="C58">
        <v>114.05</v>
      </c>
      <c r="D58" s="1">
        <f t="shared" si="0"/>
        <v>39691</v>
      </c>
    </row>
    <row r="59" spans="1:4" x14ac:dyDescent="0.3">
      <c r="A59" s="1">
        <v>39696</v>
      </c>
      <c r="C59">
        <v>104.09</v>
      </c>
      <c r="D59" s="1">
        <f t="shared" si="0"/>
        <v>39721</v>
      </c>
    </row>
    <row r="60" spans="1:4" x14ac:dyDescent="0.3">
      <c r="A60" s="1">
        <v>39703</v>
      </c>
      <c r="C60">
        <v>97.58</v>
      </c>
      <c r="D60" s="1">
        <f t="shared" si="0"/>
        <v>39721</v>
      </c>
    </row>
    <row r="61" spans="1:4" x14ac:dyDescent="0.3">
      <c r="A61" s="1">
        <v>39710</v>
      </c>
      <c r="C61">
        <v>99.61</v>
      </c>
      <c r="D61" s="1">
        <f t="shared" si="0"/>
        <v>39721</v>
      </c>
    </row>
    <row r="62" spans="1:4" x14ac:dyDescent="0.3">
      <c r="A62" s="1">
        <v>39717</v>
      </c>
      <c r="C62">
        <v>103.54</v>
      </c>
      <c r="D62" s="1">
        <f t="shared" si="0"/>
        <v>39721</v>
      </c>
    </row>
    <row r="63" spans="1:4" x14ac:dyDescent="0.3">
      <c r="A63" s="1">
        <v>39724</v>
      </c>
      <c r="C63">
        <v>90.25</v>
      </c>
      <c r="D63" s="1">
        <f t="shared" si="0"/>
        <v>39752</v>
      </c>
    </row>
    <row r="64" spans="1:4" x14ac:dyDescent="0.3">
      <c r="A64" s="1">
        <v>39731</v>
      </c>
      <c r="C64">
        <v>74.09</v>
      </c>
      <c r="D64" s="1">
        <f t="shared" si="0"/>
        <v>39752</v>
      </c>
    </row>
    <row r="65" spans="1:4" x14ac:dyDescent="0.3">
      <c r="A65" s="1">
        <v>39738</v>
      </c>
      <c r="C65">
        <v>69.599999999999994</v>
      </c>
      <c r="D65" s="1">
        <f t="shared" si="0"/>
        <v>39752</v>
      </c>
    </row>
    <row r="66" spans="1:4" x14ac:dyDescent="0.3">
      <c r="A66" s="1">
        <v>39745</v>
      </c>
      <c r="C66">
        <v>62.05</v>
      </c>
      <c r="D66" s="1">
        <f t="shared" si="0"/>
        <v>39752</v>
      </c>
    </row>
    <row r="67" spans="1:4" x14ac:dyDescent="0.3">
      <c r="A67" s="1">
        <v>39752</v>
      </c>
      <c r="C67">
        <v>65.319999999999993</v>
      </c>
      <c r="D67" s="1">
        <f t="shared" ref="D67:D130" si="1">EOMONTH(A67,0)</f>
        <v>39752</v>
      </c>
    </row>
    <row r="68" spans="1:4" x14ac:dyDescent="0.3">
      <c r="A68" s="1">
        <v>39759</v>
      </c>
      <c r="C68">
        <v>57.35</v>
      </c>
      <c r="D68" s="1">
        <f t="shared" si="1"/>
        <v>39782</v>
      </c>
    </row>
    <row r="69" spans="1:4" x14ac:dyDescent="0.3">
      <c r="A69" s="1">
        <v>39766</v>
      </c>
      <c r="C69">
        <v>54.24</v>
      </c>
      <c r="D69" s="1">
        <f t="shared" si="1"/>
        <v>39782</v>
      </c>
    </row>
    <row r="70" spans="1:4" x14ac:dyDescent="0.3">
      <c r="A70" s="1">
        <v>39773</v>
      </c>
      <c r="C70">
        <v>49.19</v>
      </c>
      <c r="D70" s="1">
        <f t="shared" si="1"/>
        <v>39782</v>
      </c>
    </row>
    <row r="71" spans="1:4" x14ac:dyDescent="0.3">
      <c r="A71" s="1">
        <v>39780</v>
      </c>
      <c r="C71">
        <v>53.49</v>
      </c>
      <c r="D71" s="1">
        <f t="shared" si="1"/>
        <v>39782</v>
      </c>
    </row>
    <row r="72" spans="1:4" x14ac:dyDescent="0.3">
      <c r="A72" s="1">
        <v>39787</v>
      </c>
      <c r="C72">
        <v>39.74</v>
      </c>
      <c r="D72" s="1">
        <f t="shared" si="1"/>
        <v>39813</v>
      </c>
    </row>
    <row r="73" spans="1:4" x14ac:dyDescent="0.3">
      <c r="A73" s="1">
        <v>39794</v>
      </c>
      <c r="C73">
        <v>46.41</v>
      </c>
      <c r="D73" s="1">
        <f t="shared" si="1"/>
        <v>39813</v>
      </c>
    </row>
    <row r="74" spans="1:4" x14ac:dyDescent="0.3">
      <c r="A74" s="1">
        <v>39801</v>
      </c>
      <c r="C74">
        <v>44</v>
      </c>
      <c r="D74" s="1">
        <f t="shared" si="1"/>
        <v>39813</v>
      </c>
    </row>
    <row r="75" spans="1:4" x14ac:dyDescent="0.3">
      <c r="A75" s="1">
        <v>39808</v>
      </c>
      <c r="C75">
        <v>38.369999999999997</v>
      </c>
      <c r="D75" s="1">
        <f t="shared" si="1"/>
        <v>39813</v>
      </c>
    </row>
    <row r="76" spans="1:4" x14ac:dyDescent="0.3">
      <c r="A76" s="1">
        <v>39815</v>
      </c>
      <c r="C76">
        <v>46.91</v>
      </c>
      <c r="D76" s="1">
        <f t="shared" si="1"/>
        <v>39844</v>
      </c>
    </row>
    <row r="77" spans="1:4" x14ac:dyDescent="0.3">
      <c r="A77" s="1">
        <v>39822</v>
      </c>
      <c r="C77">
        <v>44.42</v>
      </c>
      <c r="D77" s="1">
        <f t="shared" si="1"/>
        <v>39844</v>
      </c>
    </row>
    <row r="78" spans="1:4" x14ac:dyDescent="0.3">
      <c r="A78" s="1">
        <v>39829</v>
      </c>
      <c r="C78">
        <v>46.57</v>
      </c>
      <c r="D78" s="1">
        <f t="shared" si="1"/>
        <v>39844</v>
      </c>
    </row>
    <row r="79" spans="1:4" x14ac:dyDescent="0.3">
      <c r="A79" s="1">
        <v>39836</v>
      </c>
      <c r="C79">
        <v>48.37</v>
      </c>
      <c r="D79" s="1">
        <f t="shared" si="1"/>
        <v>39844</v>
      </c>
    </row>
    <row r="80" spans="1:4" x14ac:dyDescent="0.3">
      <c r="A80" s="1">
        <v>39843</v>
      </c>
      <c r="C80">
        <v>45.88</v>
      </c>
      <c r="D80" s="1">
        <f t="shared" si="1"/>
        <v>39844</v>
      </c>
    </row>
    <row r="81" spans="1:4" x14ac:dyDescent="0.3">
      <c r="A81" s="1">
        <v>39850</v>
      </c>
      <c r="C81">
        <v>46.21</v>
      </c>
      <c r="D81" s="1">
        <f t="shared" si="1"/>
        <v>39872</v>
      </c>
    </row>
    <row r="82" spans="1:4" x14ac:dyDescent="0.3">
      <c r="A82" s="1">
        <v>39857</v>
      </c>
      <c r="C82">
        <v>44.81</v>
      </c>
      <c r="D82" s="1">
        <f t="shared" si="1"/>
        <v>39872</v>
      </c>
    </row>
    <row r="83" spans="1:4" x14ac:dyDescent="0.3">
      <c r="A83" s="1">
        <v>39864</v>
      </c>
      <c r="C83">
        <v>41.89</v>
      </c>
      <c r="D83" s="1">
        <f t="shared" si="1"/>
        <v>39872</v>
      </c>
    </row>
    <row r="84" spans="1:4" x14ac:dyDescent="0.3">
      <c r="A84" s="1">
        <v>39871</v>
      </c>
      <c r="C84">
        <v>46.35</v>
      </c>
      <c r="D84" s="1">
        <f t="shared" si="1"/>
        <v>39872</v>
      </c>
    </row>
    <row r="85" spans="1:4" x14ac:dyDescent="0.3">
      <c r="A85" s="1">
        <v>39878</v>
      </c>
      <c r="C85">
        <v>44.85</v>
      </c>
      <c r="D85" s="1">
        <f t="shared" si="1"/>
        <v>39903</v>
      </c>
    </row>
    <row r="86" spans="1:4" x14ac:dyDescent="0.3">
      <c r="A86" s="1">
        <v>39885</v>
      </c>
      <c r="C86">
        <v>44.93</v>
      </c>
      <c r="D86" s="1">
        <f t="shared" si="1"/>
        <v>39903</v>
      </c>
    </row>
    <row r="87" spans="1:4" x14ac:dyDescent="0.3">
      <c r="A87" s="1">
        <v>39892</v>
      </c>
      <c r="C87">
        <v>51.22</v>
      </c>
      <c r="D87" s="1">
        <f t="shared" si="1"/>
        <v>39903</v>
      </c>
    </row>
    <row r="88" spans="1:4" x14ac:dyDescent="0.3">
      <c r="A88" s="1">
        <v>39899</v>
      </c>
      <c r="C88">
        <v>51.98</v>
      </c>
      <c r="D88" s="1">
        <f t="shared" si="1"/>
        <v>39903</v>
      </c>
    </row>
    <row r="89" spans="1:4" x14ac:dyDescent="0.3">
      <c r="A89" s="1">
        <v>39906</v>
      </c>
      <c r="C89">
        <v>53.47</v>
      </c>
      <c r="D89" s="1">
        <f t="shared" si="1"/>
        <v>39933</v>
      </c>
    </row>
    <row r="90" spans="1:4" x14ac:dyDescent="0.3">
      <c r="A90" s="1">
        <v>39913</v>
      </c>
      <c r="C90">
        <v>54.06</v>
      </c>
      <c r="D90" s="1">
        <f t="shared" si="1"/>
        <v>39933</v>
      </c>
    </row>
    <row r="91" spans="1:4" x14ac:dyDescent="0.3">
      <c r="A91" s="1">
        <v>39920</v>
      </c>
      <c r="C91">
        <v>53.35</v>
      </c>
      <c r="D91" s="1">
        <f t="shared" si="1"/>
        <v>39933</v>
      </c>
    </row>
    <row r="92" spans="1:4" x14ac:dyDescent="0.3">
      <c r="A92" s="1">
        <v>39927</v>
      </c>
      <c r="C92">
        <v>51.67</v>
      </c>
      <c r="D92" s="1">
        <f t="shared" si="1"/>
        <v>39933</v>
      </c>
    </row>
    <row r="93" spans="1:4" x14ac:dyDescent="0.3">
      <c r="A93" s="1">
        <v>39934</v>
      </c>
      <c r="C93">
        <v>52.85</v>
      </c>
      <c r="D93" s="1">
        <f t="shared" si="1"/>
        <v>39964</v>
      </c>
    </row>
    <row r="94" spans="1:4" x14ac:dyDescent="0.3">
      <c r="A94" s="1">
        <v>39941</v>
      </c>
      <c r="C94">
        <v>58.14</v>
      </c>
      <c r="D94" s="1">
        <f t="shared" si="1"/>
        <v>39964</v>
      </c>
    </row>
    <row r="95" spans="1:4" x14ac:dyDescent="0.3">
      <c r="A95" s="1">
        <v>39948</v>
      </c>
      <c r="C95">
        <v>55.98</v>
      </c>
      <c r="D95" s="1">
        <f t="shared" si="1"/>
        <v>39964</v>
      </c>
    </row>
    <row r="96" spans="1:4" x14ac:dyDescent="0.3">
      <c r="A96" s="1">
        <v>39955</v>
      </c>
      <c r="C96">
        <v>60.78</v>
      </c>
      <c r="D96" s="1">
        <f t="shared" si="1"/>
        <v>39964</v>
      </c>
    </row>
    <row r="97" spans="1:4" x14ac:dyDescent="0.3">
      <c r="A97" s="1">
        <v>39962</v>
      </c>
      <c r="C97">
        <v>65.52</v>
      </c>
      <c r="D97" s="1">
        <f t="shared" si="1"/>
        <v>39964</v>
      </c>
    </row>
    <row r="98" spans="1:4" x14ac:dyDescent="0.3">
      <c r="A98" s="1">
        <v>39969</v>
      </c>
      <c r="C98">
        <v>68.34</v>
      </c>
      <c r="D98" s="1">
        <f t="shared" si="1"/>
        <v>39994</v>
      </c>
    </row>
    <row r="99" spans="1:4" x14ac:dyDescent="0.3">
      <c r="A99" s="1">
        <v>39976</v>
      </c>
      <c r="C99">
        <v>70.92</v>
      </c>
      <c r="D99" s="1">
        <f t="shared" si="1"/>
        <v>39994</v>
      </c>
    </row>
    <row r="100" spans="1:4" x14ac:dyDescent="0.3">
      <c r="A100" s="1">
        <v>39983</v>
      </c>
      <c r="C100">
        <v>69.19</v>
      </c>
      <c r="D100" s="1">
        <f t="shared" si="1"/>
        <v>39994</v>
      </c>
    </row>
    <row r="101" spans="1:4" x14ac:dyDescent="0.3">
      <c r="A101" s="1">
        <v>39990</v>
      </c>
      <c r="C101">
        <v>68.92</v>
      </c>
      <c r="D101" s="1">
        <f t="shared" si="1"/>
        <v>39994</v>
      </c>
    </row>
    <row r="102" spans="1:4" x14ac:dyDescent="0.3">
      <c r="A102" s="1">
        <v>39997</v>
      </c>
      <c r="C102">
        <v>66.650000000000006</v>
      </c>
      <c r="D102" s="1">
        <f t="shared" si="1"/>
        <v>40025</v>
      </c>
    </row>
    <row r="103" spans="1:4" x14ac:dyDescent="0.3">
      <c r="A103" s="1">
        <v>40004</v>
      </c>
      <c r="C103">
        <v>60.52</v>
      </c>
      <c r="D103" s="1">
        <f t="shared" si="1"/>
        <v>40025</v>
      </c>
    </row>
    <row r="104" spans="1:4" x14ac:dyDescent="0.3">
      <c r="A104" s="1">
        <v>40011</v>
      </c>
      <c r="C104">
        <v>65.38</v>
      </c>
      <c r="D104" s="1">
        <f t="shared" si="1"/>
        <v>40025</v>
      </c>
    </row>
    <row r="105" spans="1:4" x14ac:dyDescent="0.3">
      <c r="A105" s="1">
        <v>40018</v>
      </c>
      <c r="C105">
        <v>70.319999999999993</v>
      </c>
      <c r="D105" s="1">
        <f t="shared" si="1"/>
        <v>40025</v>
      </c>
    </row>
    <row r="106" spans="1:4" x14ac:dyDescent="0.3">
      <c r="A106" s="1">
        <v>40025</v>
      </c>
      <c r="C106">
        <v>71.7</v>
      </c>
      <c r="D106" s="1">
        <f t="shared" si="1"/>
        <v>40025</v>
      </c>
    </row>
    <row r="107" spans="1:4" x14ac:dyDescent="0.3">
      <c r="A107" s="1">
        <v>40032</v>
      </c>
      <c r="C107">
        <v>73.59</v>
      </c>
      <c r="D107" s="1">
        <f t="shared" si="1"/>
        <v>40056</v>
      </c>
    </row>
    <row r="108" spans="1:4" x14ac:dyDescent="0.3">
      <c r="A108" s="1">
        <v>40039</v>
      </c>
      <c r="C108">
        <v>72.41</v>
      </c>
      <c r="D108" s="1">
        <f t="shared" si="1"/>
        <v>40056</v>
      </c>
    </row>
    <row r="109" spans="1:4" x14ac:dyDescent="0.3">
      <c r="A109" s="1">
        <v>40046</v>
      </c>
      <c r="C109">
        <v>74.19</v>
      </c>
      <c r="D109" s="1">
        <f t="shared" si="1"/>
        <v>40056</v>
      </c>
    </row>
    <row r="110" spans="1:4" x14ac:dyDescent="0.3">
      <c r="A110" s="1">
        <v>40053</v>
      </c>
      <c r="C110">
        <v>72.790000000000006</v>
      </c>
      <c r="D110" s="1">
        <f t="shared" si="1"/>
        <v>40056</v>
      </c>
    </row>
    <row r="111" spans="1:4" x14ac:dyDescent="0.3">
      <c r="A111" s="1">
        <v>40060</v>
      </c>
      <c r="C111">
        <v>66.819999999999993</v>
      </c>
      <c r="D111" s="1">
        <f t="shared" si="1"/>
        <v>40086</v>
      </c>
    </row>
    <row r="112" spans="1:4" x14ac:dyDescent="0.3">
      <c r="A112" s="1">
        <v>40067</v>
      </c>
      <c r="C112">
        <v>67.69</v>
      </c>
      <c r="D112" s="1">
        <f t="shared" si="1"/>
        <v>40086</v>
      </c>
    </row>
    <row r="113" spans="1:4" x14ac:dyDescent="0.3">
      <c r="A113" s="1">
        <v>40074</v>
      </c>
      <c r="C113">
        <v>71.319999999999993</v>
      </c>
      <c r="D113" s="1">
        <f t="shared" si="1"/>
        <v>40086</v>
      </c>
    </row>
    <row r="114" spans="1:4" x14ac:dyDescent="0.3">
      <c r="A114" s="1">
        <v>40081</v>
      </c>
      <c r="C114">
        <v>65.11</v>
      </c>
      <c r="D114" s="1">
        <f t="shared" si="1"/>
        <v>40086</v>
      </c>
    </row>
    <row r="115" spans="1:4" x14ac:dyDescent="0.3">
      <c r="A115" s="1">
        <v>40088</v>
      </c>
      <c r="C115">
        <v>68.069999999999993</v>
      </c>
      <c r="D115" s="1">
        <f t="shared" si="1"/>
        <v>40117</v>
      </c>
    </row>
    <row r="116" spans="1:4" x14ac:dyDescent="0.3">
      <c r="A116" s="1">
        <v>40095</v>
      </c>
      <c r="C116">
        <v>70</v>
      </c>
      <c r="D116" s="1">
        <f t="shared" si="1"/>
        <v>40117</v>
      </c>
    </row>
    <row r="117" spans="1:4" x14ac:dyDescent="0.3">
      <c r="A117" s="1">
        <v>40102</v>
      </c>
      <c r="C117">
        <v>76.989999999999995</v>
      </c>
      <c r="D117" s="1">
        <f t="shared" si="1"/>
        <v>40117</v>
      </c>
    </row>
    <row r="118" spans="1:4" x14ac:dyDescent="0.3">
      <c r="A118" s="1">
        <v>40109</v>
      </c>
      <c r="C118">
        <v>78.92</v>
      </c>
      <c r="D118" s="1">
        <f t="shared" si="1"/>
        <v>40117</v>
      </c>
    </row>
    <row r="119" spans="1:4" x14ac:dyDescent="0.3">
      <c r="A119" s="1">
        <v>40116</v>
      </c>
      <c r="C119">
        <v>75.2</v>
      </c>
      <c r="D119" s="1">
        <f t="shared" si="1"/>
        <v>40117</v>
      </c>
    </row>
    <row r="120" spans="1:4" x14ac:dyDescent="0.3">
      <c r="A120" s="1">
        <v>40123</v>
      </c>
      <c r="C120">
        <v>75.87</v>
      </c>
      <c r="D120" s="1">
        <f t="shared" si="1"/>
        <v>40147</v>
      </c>
    </row>
    <row r="121" spans="1:4" x14ac:dyDescent="0.3">
      <c r="A121" s="1">
        <v>40130</v>
      </c>
      <c r="C121">
        <v>75.55</v>
      </c>
      <c r="D121" s="1">
        <f t="shared" si="1"/>
        <v>40147</v>
      </c>
    </row>
    <row r="122" spans="1:4" x14ac:dyDescent="0.3">
      <c r="A122" s="1">
        <v>40137</v>
      </c>
      <c r="C122">
        <v>77.2</v>
      </c>
      <c r="D122" s="1">
        <f t="shared" si="1"/>
        <v>40147</v>
      </c>
    </row>
    <row r="123" spans="1:4" x14ac:dyDescent="0.3">
      <c r="A123" s="1">
        <v>40144</v>
      </c>
      <c r="C123">
        <v>77.180000000000007</v>
      </c>
      <c r="D123" s="1">
        <f t="shared" si="1"/>
        <v>40147</v>
      </c>
    </row>
    <row r="124" spans="1:4" x14ac:dyDescent="0.3">
      <c r="A124" s="1">
        <v>40151</v>
      </c>
      <c r="C124">
        <v>77.52</v>
      </c>
      <c r="D124" s="1">
        <f t="shared" si="1"/>
        <v>40178</v>
      </c>
    </row>
    <row r="125" spans="1:4" x14ac:dyDescent="0.3">
      <c r="A125" s="1">
        <v>40158</v>
      </c>
      <c r="C125">
        <v>71.88</v>
      </c>
      <c r="D125" s="1">
        <f t="shared" si="1"/>
        <v>40178</v>
      </c>
    </row>
    <row r="126" spans="1:4" x14ac:dyDescent="0.3">
      <c r="A126" s="1">
        <v>40165</v>
      </c>
      <c r="C126">
        <v>73.75</v>
      </c>
      <c r="D126" s="1">
        <f t="shared" si="1"/>
        <v>40178</v>
      </c>
    </row>
    <row r="127" spans="1:4" x14ac:dyDescent="0.3">
      <c r="A127" s="1">
        <v>40172</v>
      </c>
      <c r="C127">
        <v>75.45</v>
      </c>
      <c r="D127" s="1">
        <f t="shared" si="1"/>
        <v>40178</v>
      </c>
    </row>
    <row r="128" spans="1:4" x14ac:dyDescent="0.3">
      <c r="A128" s="1">
        <v>40179</v>
      </c>
      <c r="C128">
        <v>78.03</v>
      </c>
      <c r="D128" s="1">
        <f t="shared" si="1"/>
        <v>40209</v>
      </c>
    </row>
    <row r="129" spans="1:4" x14ac:dyDescent="0.3">
      <c r="A129" s="1">
        <v>40186</v>
      </c>
      <c r="C129">
        <v>81.37</v>
      </c>
      <c r="D129" s="1">
        <f t="shared" si="1"/>
        <v>40209</v>
      </c>
    </row>
    <row r="130" spans="1:4" x14ac:dyDescent="0.3">
      <c r="A130" s="1">
        <v>40193</v>
      </c>
      <c r="C130">
        <v>77.11</v>
      </c>
      <c r="D130" s="1">
        <f t="shared" si="1"/>
        <v>40209</v>
      </c>
    </row>
    <row r="131" spans="1:4" x14ac:dyDescent="0.3">
      <c r="A131" s="1">
        <v>40200</v>
      </c>
      <c r="C131">
        <v>72.83</v>
      </c>
      <c r="D131" s="1">
        <f t="shared" ref="D131:D194" si="2">EOMONTH(A131,0)</f>
        <v>40209</v>
      </c>
    </row>
    <row r="132" spans="1:4" x14ac:dyDescent="0.3">
      <c r="A132" s="1">
        <v>40207</v>
      </c>
      <c r="C132">
        <v>71.459999999999994</v>
      </c>
      <c r="D132" s="1">
        <f t="shared" si="2"/>
        <v>40209</v>
      </c>
    </row>
    <row r="133" spans="1:4" x14ac:dyDescent="0.3">
      <c r="A133" s="1">
        <v>40214</v>
      </c>
      <c r="C133">
        <v>69.59</v>
      </c>
      <c r="D133" s="1">
        <f t="shared" si="2"/>
        <v>40237</v>
      </c>
    </row>
    <row r="134" spans="1:4" x14ac:dyDescent="0.3">
      <c r="A134" s="1">
        <v>40221</v>
      </c>
      <c r="C134">
        <v>72.900000000000006</v>
      </c>
      <c r="D134" s="1">
        <f t="shared" si="2"/>
        <v>40237</v>
      </c>
    </row>
    <row r="135" spans="1:4" x14ac:dyDescent="0.3">
      <c r="A135" s="1">
        <v>40228</v>
      </c>
      <c r="C135">
        <v>78.19</v>
      </c>
      <c r="D135" s="1">
        <f t="shared" si="2"/>
        <v>40237</v>
      </c>
    </row>
    <row r="136" spans="1:4" x14ac:dyDescent="0.3">
      <c r="A136" s="1">
        <v>40235</v>
      </c>
      <c r="C136">
        <v>77.59</v>
      </c>
      <c r="D136" s="1">
        <f t="shared" si="2"/>
        <v>40237</v>
      </c>
    </row>
    <row r="137" spans="1:4" x14ac:dyDescent="0.3">
      <c r="A137" s="1">
        <v>40242</v>
      </c>
      <c r="C137">
        <v>79.89</v>
      </c>
      <c r="D137" s="1">
        <f t="shared" si="2"/>
        <v>40268</v>
      </c>
    </row>
    <row r="138" spans="1:4" x14ac:dyDescent="0.3">
      <c r="A138" s="1">
        <v>40249</v>
      </c>
      <c r="C138">
        <v>79.39</v>
      </c>
      <c r="D138" s="1">
        <f t="shared" si="2"/>
        <v>40268</v>
      </c>
    </row>
    <row r="139" spans="1:4" x14ac:dyDescent="0.3">
      <c r="A139" s="1">
        <v>40256</v>
      </c>
      <c r="C139">
        <v>79.88</v>
      </c>
      <c r="D139" s="1">
        <f t="shared" si="2"/>
        <v>40268</v>
      </c>
    </row>
    <row r="140" spans="1:4" x14ac:dyDescent="0.3">
      <c r="A140" s="1">
        <v>40263</v>
      </c>
      <c r="C140">
        <v>79.290000000000006</v>
      </c>
      <c r="D140" s="1">
        <f t="shared" si="2"/>
        <v>40268</v>
      </c>
    </row>
    <row r="141" spans="1:4" x14ac:dyDescent="0.3">
      <c r="A141" s="1">
        <v>40270</v>
      </c>
      <c r="C141">
        <v>84.01</v>
      </c>
      <c r="D141" s="1">
        <f t="shared" si="2"/>
        <v>40298</v>
      </c>
    </row>
    <row r="142" spans="1:4" x14ac:dyDescent="0.3">
      <c r="A142" s="1">
        <v>40277</v>
      </c>
      <c r="C142">
        <v>84.83</v>
      </c>
      <c r="D142" s="1">
        <f t="shared" si="2"/>
        <v>40298</v>
      </c>
    </row>
    <row r="143" spans="1:4" x14ac:dyDescent="0.3">
      <c r="A143" s="1">
        <v>40284</v>
      </c>
      <c r="C143">
        <v>85.99</v>
      </c>
      <c r="D143" s="1">
        <f t="shared" si="2"/>
        <v>40298</v>
      </c>
    </row>
    <row r="144" spans="1:4" x14ac:dyDescent="0.3">
      <c r="A144" s="1">
        <v>40291</v>
      </c>
      <c r="C144">
        <v>87.25</v>
      </c>
      <c r="D144" s="1">
        <f t="shared" si="2"/>
        <v>40298</v>
      </c>
    </row>
    <row r="145" spans="1:4" x14ac:dyDescent="0.3">
      <c r="A145" s="1">
        <v>40298</v>
      </c>
      <c r="C145">
        <v>87.44</v>
      </c>
      <c r="D145" s="1">
        <f t="shared" si="2"/>
        <v>40298</v>
      </c>
    </row>
    <row r="146" spans="1:4" x14ac:dyDescent="0.3">
      <c r="A146" s="1">
        <v>40305</v>
      </c>
      <c r="C146">
        <v>78.27</v>
      </c>
      <c r="D146" s="1">
        <f t="shared" si="2"/>
        <v>40329</v>
      </c>
    </row>
    <row r="147" spans="1:4" x14ac:dyDescent="0.3">
      <c r="A147" s="1">
        <v>40312</v>
      </c>
      <c r="C147">
        <v>80.11</v>
      </c>
      <c r="D147" s="1">
        <f t="shared" si="2"/>
        <v>40329</v>
      </c>
    </row>
    <row r="148" spans="1:4" x14ac:dyDescent="0.3">
      <c r="A148" s="1">
        <v>40319</v>
      </c>
      <c r="C148">
        <v>71.680000000000007</v>
      </c>
      <c r="D148" s="1">
        <f t="shared" si="2"/>
        <v>40329</v>
      </c>
    </row>
    <row r="149" spans="1:4" x14ac:dyDescent="0.3">
      <c r="A149" s="1">
        <v>40326</v>
      </c>
      <c r="C149">
        <v>74.02</v>
      </c>
      <c r="D149" s="1">
        <f t="shared" si="2"/>
        <v>40329</v>
      </c>
    </row>
    <row r="150" spans="1:4" x14ac:dyDescent="0.3">
      <c r="A150" s="1">
        <v>40333</v>
      </c>
      <c r="C150">
        <v>72.09</v>
      </c>
      <c r="D150" s="1">
        <f t="shared" si="2"/>
        <v>40359</v>
      </c>
    </row>
    <row r="151" spans="1:4" x14ac:dyDescent="0.3">
      <c r="A151" s="1">
        <v>40340</v>
      </c>
      <c r="C151">
        <v>74.349999999999994</v>
      </c>
      <c r="D151" s="1">
        <f t="shared" si="2"/>
        <v>40359</v>
      </c>
    </row>
    <row r="152" spans="1:4" x14ac:dyDescent="0.3">
      <c r="A152" s="1">
        <v>40347</v>
      </c>
      <c r="C152">
        <v>78.22</v>
      </c>
      <c r="D152" s="1">
        <f t="shared" si="2"/>
        <v>40359</v>
      </c>
    </row>
    <row r="153" spans="1:4" x14ac:dyDescent="0.3">
      <c r="A153" s="1">
        <v>40354</v>
      </c>
      <c r="C153">
        <v>78.12</v>
      </c>
      <c r="D153" s="1">
        <f t="shared" si="2"/>
        <v>40359</v>
      </c>
    </row>
    <row r="154" spans="1:4" x14ac:dyDescent="0.3">
      <c r="A154" s="1">
        <v>40361</v>
      </c>
      <c r="C154">
        <v>71.650000000000006</v>
      </c>
      <c r="D154" s="1">
        <f t="shared" si="2"/>
        <v>40390</v>
      </c>
    </row>
    <row r="155" spans="1:4" x14ac:dyDescent="0.3">
      <c r="A155" s="1">
        <v>40368</v>
      </c>
      <c r="C155">
        <v>75.42</v>
      </c>
      <c r="D155" s="1">
        <f t="shared" si="2"/>
        <v>40390</v>
      </c>
    </row>
    <row r="156" spans="1:4" x14ac:dyDescent="0.3">
      <c r="A156" s="1">
        <v>40375</v>
      </c>
      <c r="C156">
        <v>75.37</v>
      </c>
      <c r="D156" s="1">
        <f t="shared" si="2"/>
        <v>40390</v>
      </c>
    </row>
    <row r="157" spans="1:4" x14ac:dyDescent="0.3">
      <c r="A157" s="1">
        <v>40382</v>
      </c>
      <c r="C157">
        <v>77.45</v>
      </c>
      <c r="D157" s="1">
        <f t="shared" si="2"/>
        <v>40390</v>
      </c>
    </row>
    <row r="158" spans="1:4" x14ac:dyDescent="0.3">
      <c r="A158" s="1">
        <v>40389</v>
      </c>
      <c r="C158">
        <v>78.180000000000007</v>
      </c>
      <c r="D158" s="1">
        <f t="shared" si="2"/>
        <v>40390</v>
      </c>
    </row>
    <row r="159" spans="1:4" x14ac:dyDescent="0.3">
      <c r="A159" s="1">
        <v>40396</v>
      </c>
      <c r="C159">
        <v>80.16</v>
      </c>
      <c r="D159" s="1">
        <f t="shared" si="2"/>
        <v>40421</v>
      </c>
    </row>
    <row r="160" spans="1:4" x14ac:dyDescent="0.3">
      <c r="A160" s="1">
        <v>40403</v>
      </c>
      <c r="C160">
        <v>75.11</v>
      </c>
      <c r="D160" s="1">
        <f t="shared" si="2"/>
        <v>40421</v>
      </c>
    </row>
    <row r="161" spans="1:4" x14ac:dyDescent="0.3">
      <c r="A161" s="1">
        <v>40410</v>
      </c>
      <c r="C161">
        <v>74.260000000000005</v>
      </c>
      <c r="D161" s="1">
        <f t="shared" si="2"/>
        <v>40421</v>
      </c>
    </row>
    <row r="162" spans="1:4" x14ac:dyDescent="0.3">
      <c r="A162" s="1">
        <v>40417</v>
      </c>
      <c r="C162">
        <v>76.650000000000006</v>
      </c>
      <c r="D162" s="1">
        <f t="shared" si="2"/>
        <v>40421</v>
      </c>
    </row>
    <row r="163" spans="1:4" x14ac:dyDescent="0.3">
      <c r="A163" s="1">
        <v>40424</v>
      </c>
      <c r="C163">
        <v>76.67</v>
      </c>
      <c r="D163" s="1">
        <f t="shared" si="2"/>
        <v>40451</v>
      </c>
    </row>
    <row r="164" spans="1:4" x14ac:dyDescent="0.3">
      <c r="A164" s="1">
        <v>40431</v>
      </c>
      <c r="C164">
        <v>78.16</v>
      </c>
      <c r="D164" s="1">
        <f t="shared" si="2"/>
        <v>40451</v>
      </c>
    </row>
    <row r="165" spans="1:4" x14ac:dyDescent="0.3">
      <c r="A165" s="1">
        <v>40438</v>
      </c>
      <c r="C165">
        <v>78.209999999999994</v>
      </c>
      <c r="D165" s="1">
        <f t="shared" si="2"/>
        <v>40451</v>
      </c>
    </row>
    <row r="166" spans="1:4" x14ac:dyDescent="0.3">
      <c r="A166" s="1">
        <v>40445</v>
      </c>
      <c r="C166">
        <v>78.87</v>
      </c>
      <c r="D166" s="1">
        <f t="shared" si="2"/>
        <v>40451</v>
      </c>
    </row>
    <row r="167" spans="1:4" x14ac:dyDescent="0.3">
      <c r="A167" s="1">
        <v>40452</v>
      </c>
      <c r="C167">
        <v>83.75</v>
      </c>
      <c r="D167" s="1">
        <f t="shared" si="2"/>
        <v>40482</v>
      </c>
    </row>
    <row r="168" spans="1:4" x14ac:dyDescent="0.3">
      <c r="A168" s="1">
        <v>40459</v>
      </c>
      <c r="C168">
        <v>84.03</v>
      </c>
      <c r="D168" s="1">
        <f t="shared" si="2"/>
        <v>40482</v>
      </c>
    </row>
    <row r="169" spans="1:4" x14ac:dyDescent="0.3">
      <c r="A169" s="1">
        <v>40466</v>
      </c>
      <c r="C169">
        <v>82.45</v>
      </c>
      <c r="D169" s="1">
        <f t="shared" si="2"/>
        <v>40482</v>
      </c>
    </row>
    <row r="170" spans="1:4" x14ac:dyDescent="0.3">
      <c r="A170" s="1">
        <v>40473</v>
      </c>
      <c r="C170">
        <v>82.96</v>
      </c>
      <c r="D170" s="1">
        <f t="shared" si="2"/>
        <v>40482</v>
      </c>
    </row>
    <row r="171" spans="1:4" x14ac:dyDescent="0.3">
      <c r="A171" s="1">
        <v>40480</v>
      </c>
      <c r="C171">
        <v>83.15</v>
      </c>
      <c r="D171" s="1">
        <f t="shared" si="2"/>
        <v>40482</v>
      </c>
    </row>
    <row r="172" spans="1:4" x14ac:dyDescent="0.3">
      <c r="A172" s="1">
        <v>40487</v>
      </c>
      <c r="C172">
        <v>88.11</v>
      </c>
      <c r="D172" s="1">
        <f t="shared" si="2"/>
        <v>40512</v>
      </c>
    </row>
    <row r="173" spans="1:4" x14ac:dyDescent="0.3">
      <c r="A173" s="1">
        <v>40494</v>
      </c>
      <c r="C173">
        <v>86.34</v>
      </c>
      <c r="D173" s="1">
        <f t="shared" si="2"/>
        <v>40512</v>
      </c>
    </row>
    <row r="174" spans="1:4" x14ac:dyDescent="0.3">
      <c r="A174" s="1">
        <v>40501</v>
      </c>
      <c r="C174">
        <v>84.34</v>
      </c>
      <c r="D174" s="1">
        <f t="shared" si="2"/>
        <v>40512</v>
      </c>
    </row>
    <row r="175" spans="1:4" x14ac:dyDescent="0.3">
      <c r="A175" s="1">
        <v>40508</v>
      </c>
      <c r="C175">
        <v>85.58</v>
      </c>
      <c r="D175" s="1">
        <f t="shared" si="2"/>
        <v>40512</v>
      </c>
    </row>
    <row r="176" spans="1:4" x14ac:dyDescent="0.3">
      <c r="A176" s="1">
        <v>40515</v>
      </c>
      <c r="C176">
        <v>91.42</v>
      </c>
      <c r="D176" s="1">
        <f t="shared" si="2"/>
        <v>40543</v>
      </c>
    </row>
    <row r="177" spans="1:4" x14ac:dyDescent="0.3">
      <c r="A177" s="1">
        <v>40522</v>
      </c>
      <c r="C177">
        <v>90.48</v>
      </c>
      <c r="D177" s="1">
        <f t="shared" si="2"/>
        <v>40543</v>
      </c>
    </row>
    <row r="178" spans="1:4" x14ac:dyDescent="0.3">
      <c r="A178" s="1">
        <v>40529</v>
      </c>
      <c r="C178">
        <v>91.67</v>
      </c>
      <c r="D178" s="1">
        <f t="shared" si="2"/>
        <v>40543</v>
      </c>
    </row>
    <row r="179" spans="1:4" x14ac:dyDescent="0.3">
      <c r="A179" s="1">
        <v>40536</v>
      </c>
      <c r="C179">
        <v>94.25</v>
      </c>
      <c r="D179" s="1">
        <f t="shared" si="2"/>
        <v>40543</v>
      </c>
    </row>
    <row r="180" spans="1:4" x14ac:dyDescent="0.3">
      <c r="A180" s="1">
        <v>40543</v>
      </c>
      <c r="C180">
        <v>94.75</v>
      </c>
      <c r="D180" s="1">
        <f t="shared" si="2"/>
        <v>40543</v>
      </c>
    </row>
    <row r="181" spans="1:4" x14ac:dyDescent="0.3">
      <c r="A181" s="1">
        <v>40550</v>
      </c>
      <c r="C181">
        <v>93.33</v>
      </c>
      <c r="D181" s="1">
        <f t="shared" si="2"/>
        <v>40574</v>
      </c>
    </row>
    <row r="182" spans="1:4" x14ac:dyDescent="0.3">
      <c r="A182" s="1">
        <v>40557</v>
      </c>
      <c r="C182">
        <v>98.06</v>
      </c>
      <c r="D182" s="1">
        <f t="shared" si="2"/>
        <v>40574</v>
      </c>
    </row>
    <row r="183" spans="1:4" x14ac:dyDescent="0.3">
      <c r="A183" s="1">
        <v>40564</v>
      </c>
      <c r="C183">
        <v>97.6</v>
      </c>
      <c r="D183" s="1">
        <f t="shared" si="2"/>
        <v>40574</v>
      </c>
    </row>
    <row r="184" spans="1:4" x14ac:dyDescent="0.3">
      <c r="A184" s="1">
        <v>40571</v>
      </c>
      <c r="C184">
        <v>99.42</v>
      </c>
      <c r="D184" s="1">
        <f t="shared" si="2"/>
        <v>40574</v>
      </c>
    </row>
    <row r="185" spans="1:4" x14ac:dyDescent="0.3">
      <c r="A185" s="1">
        <v>40578</v>
      </c>
      <c r="C185">
        <v>99.83</v>
      </c>
      <c r="D185" s="1">
        <f t="shared" si="2"/>
        <v>40602</v>
      </c>
    </row>
    <row r="186" spans="1:4" x14ac:dyDescent="0.3">
      <c r="A186" s="1">
        <v>40585</v>
      </c>
      <c r="C186">
        <v>101.05</v>
      </c>
      <c r="D186" s="1">
        <f t="shared" si="2"/>
        <v>40602</v>
      </c>
    </row>
    <row r="187" spans="1:4" x14ac:dyDescent="0.3">
      <c r="A187" s="1">
        <v>40592</v>
      </c>
      <c r="C187">
        <v>102.52</v>
      </c>
      <c r="D187" s="1">
        <f t="shared" si="2"/>
        <v>40602</v>
      </c>
    </row>
    <row r="188" spans="1:4" x14ac:dyDescent="0.3">
      <c r="A188" s="1">
        <v>40599</v>
      </c>
      <c r="C188">
        <v>112.14</v>
      </c>
      <c r="D188" s="1">
        <f t="shared" si="2"/>
        <v>40602</v>
      </c>
    </row>
    <row r="189" spans="1:4" x14ac:dyDescent="0.3">
      <c r="A189" s="1">
        <v>40606</v>
      </c>
      <c r="C189">
        <v>115.97</v>
      </c>
      <c r="D189" s="1">
        <f t="shared" si="2"/>
        <v>40633</v>
      </c>
    </row>
    <row r="190" spans="1:4" x14ac:dyDescent="0.3">
      <c r="A190" s="1">
        <v>40613</v>
      </c>
      <c r="C190">
        <v>113.84</v>
      </c>
      <c r="D190" s="1">
        <f t="shared" si="2"/>
        <v>40633</v>
      </c>
    </row>
    <row r="191" spans="1:4" x14ac:dyDescent="0.3">
      <c r="A191" s="1">
        <v>40620</v>
      </c>
      <c r="C191">
        <v>113.93</v>
      </c>
      <c r="D191" s="1">
        <f t="shared" si="2"/>
        <v>40633</v>
      </c>
    </row>
    <row r="192" spans="1:4" x14ac:dyDescent="0.3">
      <c r="A192" s="1">
        <v>40627</v>
      </c>
      <c r="C192">
        <v>115.59</v>
      </c>
      <c r="D192" s="1">
        <f t="shared" si="2"/>
        <v>40633</v>
      </c>
    </row>
    <row r="193" spans="1:4" x14ac:dyDescent="0.3">
      <c r="A193" s="1">
        <v>40634</v>
      </c>
      <c r="C193">
        <v>118.7</v>
      </c>
      <c r="D193" s="1">
        <f t="shared" si="2"/>
        <v>40663</v>
      </c>
    </row>
    <row r="194" spans="1:4" x14ac:dyDescent="0.3">
      <c r="A194" s="1">
        <v>40641</v>
      </c>
      <c r="C194">
        <v>126.65</v>
      </c>
      <c r="D194" s="1">
        <f t="shared" si="2"/>
        <v>40663</v>
      </c>
    </row>
    <row r="195" spans="1:4" x14ac:dyDescent="0.3">
      <c r="A195" s="1">
        <v>40648</v>
      </c>
      <c r="C195">
        <v>123.45</v>
      </c>
      <c r="D195" s="1">
        <f t="shared" ref="D195:D258" si="3">EOMONTH(A195,0)</f>
        <v>40663</v>
      </c>
    </row>
    <row r="196" spans="1:4" x14ac:dyDescent="0.3">
      <c r="A196" s="1">
        <v>40655</v>
      </c>
      <c r="C196">
        <v>123.99</v>
      </c>
      <c r="D196" s="1">
        <f t="shared" si="3"/>
        <v>40663</v>
      </c>
    </row>
    <row r="197" spans="1:4" x14ac:dyDescent="0.3">
      <c r="A197" s="1">
        <v>40662</v>
      </c>
      <c r="C197">
        <v>125.89</v>
      </c>
      <c r="D197" s="1">
        <f t="shared" si="3"/>
        <v>40663</v>
      </c>
    </row>
    <row r="198" spans="1:4" x14ac:dyDescent="0.3">
      <c r="A198" s="1">
        <v>40669</v>
      </c>
      <c r="C198">
        <v>109.13</v>
      </c>
      <c r="D198" s="1">
        <f t="shared" si="3"/>
        <v>40694</v>
      </c>
    </row>
    <row r="199" spans="1:4" x14ac:dyDescent="0.3">
      <c r="A199" s="1">
        <v>40676</v>
      </c>
      <c r="C199">
        <v>113.83</v>
      </c>
      <c r="D199" s="1">
        <f t="shared" si="3"/>
        <v>40694</v>
      </c>
    </row>
    <row r="200" spans="1:4" x14ac:dyDescent="0.3">
      <c r="A200" s="1">
        <v>40683</v>
      </c>
      <c r="C200">
        <v>112.39</v>
      </c>
      <c r="D200" s="1">
        <f t="shared" si="3"/>
        <v>40694</v>
      </c>
    </row>
    <row r="201" spans="1:4" x14ac:dyDescent="0.3">
      <c r="A201" s="1">
        <v>40690</v>
      </c>
      <c r="C201">
        <v>115.03</v>
      </c>
      <c r="D201" s="1">
        <f t="shared" si="3"/>
        <v>40694</v>
      </c>
    </row>
    <row r="202" spans="1:4" x14ac:dyDescent="0.3">
      <c r="A202" s="1">
        <v>40697</v>
      </c>
      <c r="C202">
        <v>115.84</v>
      </c>
      <c r="D202" s="1">
        <f t="shared" si="3"/>
        <v>40724</v>
      </c>
    </row>
    <row r="203" spans="1:4" x14ac:dyDescent="0.3">
      <c r="A203" s="1">
        <v>40704</v>
      </c>
      <c r="C203">
        <v>118.78</v>
      </c>
      <c r="D203" s="1">
        <f t="shared" si="3"/>
        <v>40724</v>
      </c>
    </row>
    <row r="204" spans="1:4" x14ac:dyDescent="0.3">
      <c r="A204" s="1">
        <v>40711</v>
      </c>
      <c r="C204">
        <v>113.21</v>
      </c>
      <c r="D204" s="1">
        <f t="shared" si="3"/>
        <v>40724</v>
      </c>
    </row>
    <row r="205" spans="1:4" x14ac:dyDescent="0.3">
      <c r="A205" s="1">
        <v>40718</v>
      </c>
      <c r="C205">
        <v>105.12</v>
      </c>
      <c r="D205" s="1">
        <f t="shared" si="3"/>
        <v>40724</v>
      </c>
    </row>
    <row r="206" spans="1:4" x14ac:dyDescent="0.3">
      <c r="A206" s="1">
        <v>40725</v>
      </c>
      <c r="C206">
        <v>111.77</v>
      </c>
      <c r="D206" s="1">
        <f t="shared" si="3"/>
        <v>40755</v>
      </c>
    </row>
    <row r="207" spans="1:4" x14ac:dyDescent="0.3">
      <c r="A207" s="1">
        <v>40732</v>
      </c>
      <c r="C207">
        <v>118.33</v>
      </c>
      <c r="D207" s="1">
        <f t="shared" si="3"/>
        <v>40755</v>
      </c>
    </row>
    <row r="208" spans="1:4" x14ac:dyDescent="0.3">
      <c r="A208" s="1">
        <v>40739</v>
      </c>
      <c r="C208">
        <v>117.26</v>
      </c>
      <c r="D208" s="1">
        <f t="shared" si="3"/>
        <v>40755</v>
      </c>
    </row>
    <row r="209" spans="1:4" x14ac:dyDescent="0.3">
      <c r="A209" s="1">
        <v>40746</v>
      </c>
      <c r="C209">
        <v>118.67</v>
      </c>
      <c r="D209" s="1">
        <f t="shared" si="3"/>
        <v>40755</v>
      </c>
    </row>
    <row r="210" spans="1:4" x14ac:dyDescent="0.3">
      <c r="A210" s="1">
        <v>40753</v>
      </c>
      <c r="C210">
        <v>116.74</v>
      </c>
      <c r="D210" s="1">
        <f t="shared" si="3"/>
        <v>40755</v>
      </c>
    </row>
    <row r="211" spans="1:4" x14ac:dyDescent="0.3">
      <c r="A211" s="1">
        <v>40760</v>
      </c>
      <c r="C211">
        <v>109.37</v>
      </c>
      <c r="D211" s="1">
        <f t="shared" si="3"/>
        <v>40786</v>
      </c>
    </row>
    <row r="212" spans="1:4" x14ac:dyDescent="0.3">
      <c r="A212" s="1">
        <v>40767</v>
      </c>
      <c r="C212">
        <v>108.03</v>
      </c>
      <c r="D212" s="1">
        <f t="shared" si="3"/>
        <v>40786</v>
      </c>
    </row>
    <row r="213" spans="1:4" x14ac:dyDescent="0.3">
      <c r="A213" s="1">
        <v>40774</v>
      </c>
      <c r="C213">
        <v>108.62</v>
      </c>
      <c r="D213" s="1">
        <f t="shared" si="3"/>
        <v>40786</v>
      </c>
    </row>
    <row r="214" spans="1:4" x14ac:dyDescent="0.3">
      <c r="A214" s="1">
        <v>40781</v>
      </c>
      <c r="C214">
        <v>111.36</v>
      </c>
      <c r="D214" s="1">
        <f t="shared" si="3"/>
        <v>40786</v>
      </c>
    </row>
    <row r="215" spans="1:4" x14ac:dyDescent="0.3">
      <c r="A215" s="1">
        <v>40788</v>
      </c>
      <c r="C215">
        <v>112.33</v>
      </c>
      <c r="D215" s="1">
        <f t="shared" si="3"/>
        <v>40816</v>
      </c>
    </row>
    <row r="216" spans="1:4" x14ac:dyDescent="0.3">
      <c r="A216" s="1">
        <v>40795</v>
      </c>
      <c r="C216">
        <v>112.77</v>
      </c>
      <c r="D216" s="1">
        <f t="shared" si="3"/>
        <v>40816</v>
      </c>
    </row>
    <row r="217" spans="1:4" x14ac:dyDescent="0.3">
      <c r="A217" s="1">
        <v>40802</v>
      </c>
      <c r="C217">
        <v>112.22</v>
      </c>
      <c r="D217" s="1">
        <f t="shared" si="3"/>
        <v>40816</v>
      </c>
    </row>
    <row r="218" spans="1:4" x14ac:dyDescent="0.3">
      <c r="A218" s="1">
        <v>40809</v>
      </c>
      <c r="C218">
        <v>103.97</v>
      </c>
      <c r="D218" s="1">
        <f t="shared" si="3"/>
        <v>40816</v>
      </c>
    </row>
    <row r="219" spans="1:4" x14ac:dyDescent="0.3">
      <c r="A219" s="1">
        <v>40816</v>
      </c>
      <c r="C219">
        <v>102.76</v>
      </c>
      <c r="D219" s="1">
        <f t="shared" si="3"/>
        <v>40816</v>
      </c>
    </row>
    <row r="220" spans="1:4" x14ac:dyDescent="0.3">
      <c r="A220" s="1">
        <v>40823</v>
      </c>
      <c r="C220">
        <v>105.88</v>
      </c>
      <c r="D220" s="1">
        <f t="shared" si="3"/>
        <v>40847</v>
      </c>
    </row>
    <row r="221" spans="1:4" x14ac:dyDescent="0.3">
      <c r="A221" s="1">
        <v>40830</v>
      </c>
      <c r="C221">
        <v>114.68</v>
      </c>
      <c r="D221" s="1">
        <f t="shared" si="3"/>
        <v>40847</v>
      </c>
    </row>
    <row r="222" spans="1:4" x14ac:dyDescent="0.3">
      <c r="A222" s="1">
        <v>40837</v>
      </c>
      <c r="C222">
        <v>109.56</v>
      </c>
      <c r="D222" s="1">
        <f t="shared" si="3"/>
        <v>40847</v>
      </c>
    </row>
    <row r="223" spans="1:4" x14ac:dyDescent="0.3">
      <c r="A223" s="1">
        <v>40844</v>
      </c>
      <c r="C223">
        <v>109.91</v>
      </c>
      <c r="D223" s="1">
        <f t="shared" si="3"/>
        <v>40847</v>
      </c>
    </row>
    <row r="224" spans="1:4" x14ac:dyDescent="0.3">
      <c r="A224" s="1">
        <v>40851</v>
      </c>
      <c r="C224">
        <v>111.97</v>
      </c>
      <c r="D224" s="1">
        <f t="shared" si="3"/>
        <v>40877</v>
      </c>
    </row>
    <row r="225" spans="1:4" x14ac:dyDescent="0.3">
      <c r="A225" s="1">
        <v>40858</v>
      </c>
      <c r="C225">
        <v>114.16</v>
      </c>
      <c r="D225" s="1">
        <f t="shared" si="3"/>
        <v>40877</v>
      </c>
    </row>
    <row r="226" spans="1:4" x14ac:dyDescent="0.3">
      <c r="A226" s="1">
        <v>40865</v>
      </c>
      <c r="C226">
        <v>107.56</v>
      </c>
      <c r="D226" s="1">
        <f t="shared" si="3"/>
        <v>40877</v>
      </c>
    </row>
    <row r="227" spans="1:4" x14ac:dyDescent="0.3">
      <c r="A227" s="1">
        <v>40872</v>
      </c>
      <c r="C227">
        <v>106.4</v>
      </c>
      <c r="D227" s="1">
        <f t="shared" si="3"/>
        <v>40877</v>
      </c>
    </row>
    <row r="228" spans="1:4" x14ac:dyDescent="0.3">
      <c r="A228" s="1">
        <v>40879</v>
      </c>
      <c r="C228">
        <v>109.94</v>
      </c>
      <c r="D228" s="1">
        <f t="shared" si="3"/>
        <v>40908</v>
      </c>
    </row>
    <row r="229" spans="1:4" x14ac:dyDescent="0.3">
      <c r="A229" s="1">
        <v>40886</v>
      </c>
      <c r="C229">
        <v>108.62</v>
      </c>
      <c r="D229" s="1">
        <f t="shared" si="3"/>
        <v>40908</v>
      </c>
    </row>
    <row r="230" spans="1:4" x14ac:dyDescent="0.3">
      <c r="A230" s="1">
        <v>40893</v>
      </c>
      <c r="C230">
        <v>103.35</v>
      </c>
      <c r="D230" s="1">
        <f t="shared" si="3"/>
        <v>40908</v>
      </c>
    </row>
    <row r="231" spans="1:4" x14ac:dyDescent="0.3">
      <c r="A231" s="1">
        <v>40900</v>
      </c>
      <c r="C231">
        <v>107.96</v>
      </c>
      <c r="D231" s="1">
        <f t="shared" si="3"/>
        <v>40908</v>
      </c>
    </row>
    <row r="232" spans="1:4" x14ac:dyDescent="0.3">
      <c r="A232" s="1">
        <v>40907</v>
      </c>
      <c r="C232">
        <v>107.38</v>
      </c>
      <c r="D232" s="1">
        <f t="shared" si="3"/>
        <v>40908</v>
      </c>
    </row>
    <row r="233" spans="1:4" x14ac:dyDescent="0.3">
      <c r="A233" s="1">
        <v>40914</v>
      </c>
      <c r="C233">
        <v>113.06</v>
      </c>
      <c r="D233" s="1">
        <f t="shared" si="3"/>
        <v>40939</v>
      </c>
    </row>
    <row r="234" spans="1:4" x14ac:dyDescent="0.3">
      <c r="A234" s="1">
        <v>40921</v>
      </c>
      <c r="C234">
        <v>110.44</v>
      </c>
      <c r="D234" s="1">
        <f t="shared" si="3"/>
        <v>40939</v>
      </c>
    </row>
    <row r="235" spans="1:4" x14ac:dyDescent="0.3">
      <c r="A235" s="1">
        <v>40928</v>
      </c>
      <c r="C235">
        <v>109.86</v>
      </c>
      <c r="D235" s="1">
        <f t="shared" si="3"/>
        <v>40939</v>
      </c>
    </row>
    <row r="236" spans="1:4" x14ac:dyDescent="0.3">
      <c r="A236" s="1">
        <v>40935</v>
      </c>
      <c r="C236">
        <v>111.46</v>
      </c>
      <c r="D236" s="1">
        <f t="shared" si="3"/>
        <v>40939</v>
      </c>
    </row>
    <row r="237" spans="1:4" x14ac:dyDescent="0.3">
      <c r="A237" s="1">
        <v>40942</v>
      </c>
      <c r="C237">
        <v>114.58</v>
      </c>
      <c r="D237" s="1">
        <f t="shared" si="3"/>
        <v>40968</v>
      </c>
    </row>
    <row r="238" spans="1:4" x14ac:dyDescent="0.3">
      <c r="A238" s="1">
        <v>40949</v>
      </c>
      <c r="C238">
        <v>117.31</v>
      </c>
      <c r="D238" s="1">
        <f t="shared" si="3"/>
        <v>40968</v>
      </c>
    </row>
    <row r="239" spans="1:4" x14ac:dyDescent="0.3">
      <c r="A239" s="1">
        <v>40956</v>
      </c>
      <c r="C239">
        <v>119.58</v>
      </c>
      <c r="D239" s="1">
        <f t="shared" si="3"/>
        <v>40968</v>
      </c>
    </row>
    <row r="240" spans="1:4" x14ac:dyDescent="0.3">
      <c r="A240" s="1">
        <v>40963</v>
      </c>
      <c r="C240">
        <v>125.47</v>
      </c>
      <c r="D240" s="1">
        <f t="shared" si="3"/>
        <v>40968</v>
      </c>
    </row>
    <row r="241" spans="1:4" x14ac:dyDescent="0.3">
      <c r="A241" s="1">
        <v>40970</v>
      </c>
      <c r="C241">
        <v>123.65</v>
      </c>
      <c r="D241" s="1">
        <f t="shared" si="3"/>
        <v>40999</v>
      </c>
    </row>
    <row r="242" spans="1:4" x14ac:dyDescent="0.3">
      <c r="A242" s="1">
        <v>40977</v>
      </c>
      <c r="C242">
        <v>125.98</v>
      </c>
      <c r="D242" s="1">
        <f t="shared" si="3"/>
        <v>40999</v>
      </c>
    </row>
    <row r="243" spans="1:4" x14ac:dyDescent="0.3">
      <c r="A243" s="1">
        <v>40984</v>
      </c>
      <c r="C243">
        <v>125.81</v>
      </c>
      <c r="D243" s="1">
        <f t="shared" si="3"/>
        <v>40999</v>
      </c>
    </row>
    <row r="244" spans="1:4" x14ac:dyDescent="0.3">
      <c r="A244" s="1">
        <v>40991</v>
      </c>
      <c r="C244">
        <v>125.13</v>
      </c>
      <c r="D244" s="1">
        <f t="shared" si="3"/>
        <v>40999</v>
      </c>
    </row>
    <row r="245" spans="1:4" x14ac:dyDescent="0.3">
      <c r="A245" s="1">
        <v>40998</v>
      </c>
      <c r="C245">
        <v>122.88</v>
      </c>
      <c r="D245" s="1">
        <f t="shared" si="3"/>
        <v>40999</v>
      </c>
    </row>
    <row r="246" spans="1:4" x14ac:dyDescent="0.3">
      <c r="A246" s="1">
        <v>41005</v>
      </c>
      <c r="C246">
        <v>123.43</v>
      </c>
      <c r="D246" s="1">
        <f t="shared" si="3"/>
        <v>41029</v>
      </c>
    </row>
    <row r="247" spans="1:4" x14ac:dyDescent="0.3">
      <c r="A247" s="1">
        <v>41012</v>
      </c>
      <c r="C247">
        <v>121.83</v>
      </c>
      <c r="D247" s="1">
        <f t="shared" si="3"/>
        <v>41029</v>
      </c>
    </row>
    <row r="248" spans="1:4" x14ac:dyDescent="0.3">
      <c r="A248" s="1">
        <v>41019</v>
      </c>
      <c r="C248">
        <v>118.76</v>
      </c>
      <c r="D248" s="1">
        <f t="shared" si="3"/>
        <v>41029</v>
      </c>
    </row>
    <row r="249" spans="1:4" x14ac:dyDescent="0.3">
      <c r="A249" s="1">
        <v>41026</v>
      </c>
      <c r="C249">
        <v>119.83</v>
      </c>
      <c r="D249" s="1">
        <f t="shared" si="3"/>
        <v>41029</v>
      </c>
    </row>
    <row r="250" spans="1:4" x14ac:dyDescent="0.3">
      <c r="A250" s="1">
        <v>41033</v>
      </c>
      <c r="C250">
        <v>113.18</v>
      </c>
      <c r="D250" s="1">
        <f t="shared" si="3"/>
        <v>41060</v>
      </c>
    </row>
    <row r="251" spans="1:4" x14ac:dyDescent="0.3">
      <c r="A251" s="1">
        <v>41040</v>
      </c>
      <c r="C251">
        <v>112.26</v>
      </c>
      <c r="D251" s="1">
        <f t="shared" si="3"/>
        <v>41060</v>
      </c>
    </row>
    <row r="252" spans="1:4" x14ac:dyDescent="0.3">
      <c r="A252" s="1">
        <v>41047</v>
      </c>
      <c r="C252">
        <v>107.14</v>
      </c>
      <c r="D252" s="1">
        <f t="shared" si="3"/>
        <v>41060</v>
      </c>
    </row>
    <row r="253" spans="1:4" x14ac:dyDescent="0.3">
      <c r="A253" s="1">
        <v>41054</v>
      </c>
      <c r="C253">
        <v>106.83</v>
      </c>
      <c r="D253" s="1">
        <f t="shared" si="3"/>
        <v>41060</v>
      </c>
    </row>
    <row r="254" spans="1:4" x14ac:dyDescent="0.3">
      <c r="A254" s="1">
        <v>41061</v>
      </c>
      <c r="C254">
        <v>98.43</v>
      </c>
      <c r="D254" s="1">
        <f t="shared" si="3"/>
        <v>41090</v>
      </c>
    </row>
    <row r="255" spans="1:4" x14ac:dyDescent="0.3">
      <c r="A255" s="1">
        <v>41068</v>
      </c>
      <c r="C255">
        <v>99.47</v>
      </c>
      <c r="D255" s="1">
        <f t="shared" si="3"/>
        <v>41090</v>
      </c>
    </row>
    <row r="256" spans="1:4" x14ac:dyDescent="0.3">
      <c r="A256" s="1">
        <v>41075</v>
      </c>
      <c r="C256">
        <v>97.61</v>
      </c>
      <c r="D256" s="1">
        <f t="shared" si="3"/>
        <v>41090</v>
      </c>
    </row>
    <row r="257" spans="1:4" x14ac:dyDescent="0.3">
      <c r="A257" s="1">
        <v>41082</v>
      </c>
      <c r="C257">
        <v>90.98</v>
      </c>
      <c r="D257" s="1">
        <f t="shared" si="3"/>
        <v>41090</v>
      </c>
    </row>
    <row r="258" spans="1:4" x14ac:dyDescent="0.3">
      <c r="A258" s="1">
        <v>41089</v>
      </c>
      <c r="C258">
        <v>97.8</v>
      </c>
      <c r="D258" s="1">
        <f t="shared" si="3"/>
        <v>41090</v>
      </c>
    </row>
    <row r="259" spans="1:4" x14ac:dyDescent="0.3">
      <c r="A259" s="1">
        <v>41096</v>
      </c>
      <c r="C259">
        <v>98.19</v>
      </c>
      <c r="D259" s="1">
        <f t="shared" ref="D259:D322" si="4">EOMONTH(A259,0)</f>
        <v>41121</v>
      </c>
    </row>
    <row r="260" spans="1:4" x14ac:dyDescent="0.3">
      <c r="A260" s="1">
        <v>41103</v>
      </c>
      <c r="C260">
        <v>102.4</v>
      </c>
      <c r="D260" s="1">
        <f t="shared" si="4"/>
        <v>41121</v>
      </c>
    </row>
    <row r="261" spans="1:4" x14ac:dyDescent="0.3">
      <c r="A261" s="1">
        <v>41110</v>
      </c>
      <c r="C261">
        <v>106.83</v>
      </c>
      <c r="D261" s="1">
        <f t="shared" si="4"/>
        <v>41121</v>
      </c>
    </row>
    <row r="262" spans="1:4" x14ac:dyDescent="0.3">
      <c r="A262" s="1">
        <v>41117</v>
      </c>
      <c r="C262">
        <v>106.47</v>
      </c>
      <c r="D262" s="1">
        <f t="shared" si="4"/>
        <v>41121</v>
      </c>
    </row>
    <row r="263" spans="1:4" x14ac:dyDescent="0.3">
      <c r="A263" s="1">
        <v>41124</v>
      </c>
      <c r="C263">
        <v>108.94</v>
      </c>
      <c r="D263" s="1">
        <f t="shared" si="4"/>
        <v>41152</v>
      </c>
    </row>
    <row r="264" spans="1:4" x14ac:dyDescent="0.3">
      <c r="A264" s="1">
        <v>41131</v>
      </c>
      <c r="C264">
        <v>112.95</v>
      </c>
      <c r="D264" s="1">
        <f t="shared" si="4"/>
        <v>41152</v>
      </c>
    </row>
    <row r="265" spans="1:4" x14ac:dyDescent="0.3">
      <c r="A265" s="1">
        <v>41138</v>
      </c>
      <c r="C265">
        <v>113.71</v>
      </c>
      <c r="D265" s="1">
        <f t="shared" si="4"/>
        <v>41152</v>
      </c>
    </row>
    <row r="266" spans="1:4" x14ac:dyDescent="0.3">
      <c r="A266" s="1">
        <v>41145</v>
      </c>
      <c r="C266">
        <v>113.59</v>
      </c>
      <c r="D266" s="1">
        <f t="shared" si="4"/>
        <v>41152</v>
      </c>
    </row>
    <row r="267" spans="1:4" x14ac:dyDescent="0.3">
      <c r="A267" s="1">
        <v>41152</v>
      </c>
      <c r="C267">
        <v>114.57</v>
      </c>
      <c r="D267" s="1">
        <f t="shared" si="4"/>
        <v>41152</v>
      </c>
    </row>
    <row r="268" spans="1:4" x14ac:dyDescent="0.3">
      <c r="A268" s="1">
        <v>41159</v>
      </c>
      <c r="C268">
        <v>114.25</v>
      </c>
      <c r="D268" s="1">
        <f t="shared" si="4"/>
        <v>41182</v>
      </c>
    </row>
    <row r="269" spans="1:4" x14ac:dyDescent="0.3">
      <c r="A269" s="1">
        <v>41166</v>
      </c>
      <c r="C269">
        <v>116.66</v>
      </c>
      <c r="D269" s="1">
        <f t="shared" si="4"/>
        <v>41182</v>
      </c>
    </row>
    <row r="270" spans="1:4" x14ac:dyDescent="0.3">
      <c r="A270" s="1">
        <v>41173</v>
      </c>
      <c r="C270">
        <v>111.42</v>
      </c>
      <c r="D270" s="1">
        <f t="shared" si="4"/>
        <v>41182</v>
      </c>
    </row>
    <row r="271" spans="1:4" x14ac:dyDescent="0.3">
      <c r="A271" s="1">
        <v>41180</v>
      </c>
      <c r="C271">
        <v>112.39</v>
      </c>
      <c r="D271" s="1">
        <f t="shared" si="4"/>
        <v>41182</v>
      </c>
    </row>
    <row r="272" spans="1:4" x14ac:dyDescent="0.3">
      <c r="A272" s="1">
        <v>41187</v>
      </c>
      <c r="C272">
        <v>112.02</v>
      </c>
      <c r="D272" s="1">
        <f t="shared" si="4"/>
        <v>41213</v>
      </c>
    </row>
    <row r="273" spans="1:4" x14ac:dyDescent="0.3">
      <c r="A273" s="1">
        <v>41194</v>
      </c>
      <c r="C273">
        <v>114.62</v>
      </c>
      <c r="D273" s="1">
        <f t="shared" si="4"/>
        <v>41213</v>
      </c>
    </row>
    <row r="274" spans="1:4" x14ac:dyDescent="0.3">
      <c r="A274" s="1">
        <v>41201</v>
      </c>
      <c r="C274">
        <v>110.14</v>
      </c>
      <c r="D274" s="1">
        <f t="shared" si="4"/>
        <v>41213</v>
      </c>
    </row>
    <row r="275" spans="1:4" x14ac:dyDescent="0.3">
      <c r="A275" s="1">
        <v>41208</v>
      </c>
      <c r="C275">
        <v>109.55</v>
      </c>
      <c r="D275" s="1">
        <f t="shared" si="4"/>
        <v>41213</v>
      </c>
    </row>
    <row r="276" spans="1:4" x14ac:dyDescent="0.3">
      <c r="A276" s="1">
        <v>41215</v>
      </c>
      <c r="C276">
        <v>105.68</v>
      </c>
      <c r="D276" s="1">
        <f t="shared" si="4"/>
        <v>41243</v>
      </c>
    </row>
    <row r="277" spans="1:4" x14ac:dyDescent="0.3">
      <c r="A277" s="1">
        <v>41222</v>
      </c>
      <c r="C277">
        <v>109.4</v>
      </c>
      <c r="D277" s="1">
        <f t="shared" si="4"/>
        <v>41243</v>
      </c>
    </row>
    <row r="278" spans="1:4" x14ac:dyDescent="0.3">
      <c r="A278" s="1">
        <v>41229</v>
      </c>
      <c r="C278">
        <v>108.95</v>
      </c>
      <c r="D278" s="1">
        <f t="shared" si="4"/>
        <v>41243</v>
      </c>
    </row>
    <row r="279" spans="1:4" x14ac:dyDescent="0.3">
      <c r="A279" s="1">
        <v>41236</v>
      </c>
      <c r="C279">
        <v>111.38</v>
      </c>
      <c r="D279" s="1">
        <f t="shared" si="4"/>
        <v>41243</v>
      </c>
    </row>
    <row r="280" spans="1:4" x14ac:dyDescent="0.3">
      <c r="A280" s="1">
        <v>41243</v>
      </c>
      <c r="C280">
        <v>111.23</v>
      </c>
      <c r="D280" s="1">
        <f t="shared" si="4"/>
        <v>41243</v>
      </c>
    </row>
    <row r="281" spans="1:4" x14ac:dyDescent="0.3">
      <c r="A281" s="1">
        <v>41250</v>
      </c>
      <c r="C281">
        <v>107.02</v>
      </c>
      <c r="D281" s="1">
        <f t="shared" si="4"/>
        <v>41274</v>
      </c>
    </row>
    <row r="282" spans="1:4" x14ac:dyDescent="0.3">
      <c r="A282" s="1">
        <v>41257</v>
      </c>
      <c r="C282">
        <v>109.15</v>
      </c>
      <c r="D282" s="1">
        <f t="shared" si="4"/>
        <v>41274</v>
      </c>
    </row>
    <row r="283" spans="1:4" x14ac:dyDescent="0.3">
      <c r="A283" s="1">
        <v>41264</v>
      </c>
      <c r="C283">
        <v>108.97</v>
      </c>
      <c r="D283" s="1">
        <f t="shared" si="4"/>
        <v>41274</v>
      </c>
    </row>
    <row r="284" spans="1:4" x14ac:dyDescent="0.3">
      <c r="A284" s="1">
        <v>41271</v>
      </c>
      <c r="C284">
        <v>110.62</v>
      </c>
      <c r="D284" s="1">
        <f t="shared" si="4"/>
        <v>41274</v>
      </c>
    </row>
    <row r="285" spans="1:4" x14ac:dyDescent="0.3">
      <c r="A285" s="1">
        <v>41278</v>
      </c>
      <c r="C285">
        <v>111.31</v>
      </c>
      <c r="D285" s="1">
        <f t="shared" si="4"/>
        <v>41305</v>
      </c>
    </row>
    <row r="286" spans="1:4" x14ac:dyDescent="0.3">
      <c r="A286" s="1">
        <v>41285</v>
      </c>
      <c r="C286">
        <v>110.64</v>
      </c>
      <c r="D286" s="1">
        <f t="shared" si="4"/>
        <v>41305</v>
      </c>
    </row>
    <row r="287" spans="1:4" x14ac:dyDescent="0.3">
      <c r="A287" s="1">
        <v>41292</v>
      </c>
      <c r="C287">
        <v>111.89</v>
      </c>
      <c r="D287" s="1">
        <f t="shared" si="4"/>
        <v>41305</v>
      </c>
    </row>
    <row r="288" spans="1:4" x14ac:dyDescent="0.3">
      <c r="A288" s="1">
        <v>41299</v>
      </c>
      <c r="C288">
        <v>113.28</v>
      </c>
      <c r="D288" s="1">
        <f t="shared" si="4"/>
        <v>41305</v>
      </c>
    </row>
    <row r="289" spans="1:4" x14ac:dyDescent="0.3">
      <c r="A289" s="1">
        <v>41306</v>
      </c>
      <c r="C289">
        <v>116.76</v>
      </c>
      <c r="D289" s="1">
        <f t="shared" si="4"/>
        <v>41333</v>
      </c>
    </row>
    <row r="290" spans="1:4" x14ac:dyDescent="0.3">
      <c r="A290" s="1">
        <v>41313</v>
      </c>
      <c r="C290">
        <v>118.9</v>
      </c>
      <c r="D290" s="1">
        <f t="shared" si="4"/>
        <v>41333</v>
      </c>
    </row>
    <row r="291" spans="1:4" x14ac:dyDescent="0.3">
      <c r="A291" s="1">
        <v>41320</v>
      </c>
      <c r="C291">
        <v>117.66</v>
      </c>
      <c r="D291" s="1">
        <f t="shared" si="4"/>
        <v>41333</v>
      </c>
    </row>
    <row r="292" spans="1:4" x14ac:dyDescent="0.3">
      <c r="A292" s="1">
        <v>41327</v>
      </c>
      <c r="C292">
        <v>114.1</v>
      </c>
      <c r="D292" s="1">
        <f t="shared" si="4"/>
        <v>41333</v>
      </c>
    </row>
    <row r="293" spans="1:4" x14ac:dyDescent="0.3">
      <c r="A293" s="1">
        <v>41334</v>
      </c>
      <c r="C293">
        <v>110.4</v>
      </c>
      <c r="D293" s="1">
        <f t="shared" si="4"/>
        <v>41364</v>
      </c>
    </row>
    <row r="294" spans="1:4" x14ac:dyDescent="0.3">
      <c r="A294" s="1">
        <v>41341</v>
      </c>
      <c r="C294">
        <v>110.85</v>
      </c>
      <c r="D294" s="1">
        <f t="shared" si="4"/>
        <v>41364</v>
      </c>
    </row>
    <row r="295" spans="1:4" x14ac:dyDescent="0.3">
      <c r="A295" s="1">
        <v>41348</v>
      </c>
      <c r="C295">
        <v>109.82</v>
      </c>
      <c r="D295" s="1">
        <f t="shared" si="4"/>
        <v>41364</v>
      </c>
    </row>
    <row r="296" spans="1:4" x14ac:dyDescent="0.3">
      <c r="A296" s="1">
        <v>41355</v>
      </c>
      <c r="C296">
        <v>107.66</v>
      </c>
      <c r="D296" s="1">
        <f t="shared" si="4"/>
        <v>41364</v>
      </c>
    </row>
    <row r="297" spans="1:4" x14ac:dyDescent="0.3">
      <c r="A297" s="1">
        <v>41362</v>
      </c>
      <c r="C297">
        <v>110.02</v>
      </c>
      <c r="D297" s="1">
        <f t="shared" si="4"/>
        <v>41364</v>
      </c>
    </row>
    <row r="298" spans="1:4" x14ac:dyDescent="0.3">
      <c r="A298" s="1">
        <v>41369</v>
      </c>
      <c r="C298">
        <v>104.12</v>
      </c>
      <c r="D298" s="1">
        <f t="shared" si="4"/>
        <v>41394</v>
      </c>
    </row>
    <row r="299" spans="1:4" x14ac:dyDescent="0.3">
      <c r="A299" s="1">
        <v>41376</v>
      </c>
      <c r="C299">
        <v>103.11</v>
      </c>
      <c r="D299" s="1">
        <f t="shared" si="4"/>
        <v>41394</v>
      </c>
    </row>
    <row r="300" spans="1:4" x14ac:dyDescent="0.3">
      <c r="A300" s="1">
        <v>41383</v>
      </c>
      <c r="C300">
        <v>99.65</v>
      </c>
      <c r="D300" s="1">
        <f t="shared" si="4"/>
        <v>41394</v>
      </c>
    </row>
    <row r="301" spans="1:4" x14ac:dyDescent="0.3">
      <c r="A301" s="1">
        <v>41390</v>
      </c>
      <c r="C301">
        <v>103.16</v>
      </c>
      <c r="D301" s="1">
        <f t="shared" si="4"/>
        <v>41394</v>
      </c>
    </row>
    <row r="302" spans="1:4" x14ac:dyDescent="0.3">
      <c r="A302" s="1">
        <v>41397</v>
      </c>
      <c r="C302">
        <v>104.19</v>
      </c>
      <c r="D302" s="1">
        <f t="shared" si="4"/>
        <v>41425</v>
      </c>
    </row>
    <row r="303" spans="1:4" x14ac:dyDescent="0.3">
      <c r="A303" s="1">
        <v>41404</v>
      </c>
      <c r="C303">
        <v>103.91</v>
      </c>
      <c r="D303" s="1">
        <f t="shared" si="4"/>
        <v>41425</v>
      </c>
    </row>
    <row r="304" spans="1:4" x14ac:dyDescent="0.3">
      <c r="A304" s="1">
        <v>41411</v>
      </c>
      <c r="C304">
        <v>104.64</v>
      </c>
      <c r="D304" s="1">
        <f t="shared" si="4"/>
        <v>41425</v>
      </c>
    </row>
    <row r="305" spans="1:4" x14ac:dyDescent="0.3">
      <c r="A305" s="1">
        <v>41418</v>
      </c>
      <c r="C305">
        <v>102.64</v>
      </c>
      <c r="D305" s="1">
        <f t="shared" si="4"/>
        <v>41425</v>
      </c>
    </row>
    <row r="306" spans="1:4" x14ac:dyDescent="0.3">
      <c r="A306" s="1">
        <v>41425</v>
      </c>
      <c r="C306">
        <v>100.39</v>
      </c>
      <c r="D306" s="1">
        <f t="shared" si="4"/>
        <v>41425</v>
      </c>
    </row>
    <row r="307" spans="1:4" x14ac:dyDescent="0.3">
      <c r="A307" s="1">
        <v>41432</v>
      </c>
      <c r="C307">
        <v>104.56</v>
      </c>
      <c r="D307" s="1">
        <f t="shared" si="4"/>
        <v>41455</v>
      </c>
    </row>
    <row r="308" spans="1:4" x14ac:dyDescent="0.3">
      <c r="A308" s="1">
        <v>41439</v>
      </c>
      <c r="C308">
        <v>105.93</v>
      </c>
      <c r="D308" s="1">
        <f t="shared" si="4"/>
        <v>41455</v>
      </c>
    </row>
    <row r="309" spans="1:4" x14ac:dyDescent="0.3">
      <c r="A309" s="1">
        <v>41446</v>
      </c>
      <c r="C309">
        <v>100.91</v>
      </c>
      <c r="D309" s="1">
        <f t="shared" si="4"/>
        <v>41455</v>
      </c>
    </row>
    <row r="310" spans="1:4" x14ac:dyDescent="0.3">
      <c r="A310" s="1">
        <v>41453</v>
      </c>
      <c r="C310">
        <v>102.16</v>
      </c>
      <c r="D310" s="1">
        <f t="shared" si="4"/>
        <v>41455</v>
      </c>
    </row>
    <row r="311" spans="1:4" x14ac:dyDescent="0.3">
      <c r="A311" s="1">
        <v>41460</v>
      </c>
      <c r="C311">
        <v>107.72</v>
      </c>
      <c r="D311" s="1">
        <f t="shared" si="4"/>
        <v>41486</v>
      </c>
    </row>
    <row r="312" spans="1:4" x14ac:dyDescent="0.3">
      <c r="A312" s="1">
        <v>41467</v>
      </c>
      <c r="C312">
        <v>108.81</v>
      </c>
      <c r="D312" s="1">
        <f t="shared" si="4"/>
        <v>41486</v>
      </c>
    </row>
    <row r="313" spans="1:4" x14ac:dyDescent="0.3">
      <c r="A313" s="1">
        <v>41474</v>
      </c>
      <c r="C313">
        <v>108.07</v>
      </c>
      <c r="D313" s="1">
        <f t="shared" si="4"/>
        <v>41486</v>
      </c>
    </row>
    <row r="314" spans="1:4" x14ac:dyDescent="0.3">
      <c r="A314" s="1">
        <v>41481</v>
      </c>
      <c r="C314">
        <v>107.17</v>
      </c>
      <c r="D314" s="1">
        <f t="shared" si="4"/>
        <v>41486</v>
      </c>
    </row>
    <row r="315" spans="1:4" x14ac:dyDescent="0.3">
      <c r="A315" s="1">
        <v>41488</v>
      </c>
      <c r="C315">
        <v>108.95</v>
      </c>
      <c r="D315" s="1">
        <f t="shared" si="4"/>
        <v>41517</v>
      </c>
    </row>
    <row r="316" spans="1:4" x14ac:dyDescent="0.3">
      <c r="A316" s="1">
        <v>41495</v>
      </c>
      <c r="C316">
        <v>108.22</v>
      </c>
      <c r="D316" s="1">
        <f t="shared" si="4"/>
        <v>41517</v>
      </c>
    </row>
    <row r="317" spans="1:4" x14ac:dyDescent="0.3">
      <c r="A317" s="1">
        <v>41502</v>
      </c>
      <c r="C317">
        <v>110.4</v>
      </c>
      <c r="D317" s="1">
        <f t="shared" si="4"/>
        <v>41517</v>
      </c>
    </row>
    <row r="318" spans="1:4" x14ac:dyDescent="0.3">
      <c r="A318" s="1">
        <v>41509</v>
      </c>
      <c r="C318">
        <v>111.04</v>
      </c>
      <c r="D318" s="1">
        <f t="shared" si="4"/>
        <v>41517</v>
      </c>
    </row>
    <row r="319" spans="1:4" x14ac:dyDescent="0.3">
      <c r="A319" s="1">
        <v>41516</v>
      </c>
      <c r="C319">
        <v>114.01</v>
      </c>
      <c r="D319" s="1">
        <f t="shared" si="4"/>
        <v>41517</v>
      </c>
    </row>
    <row r="320" spans="1:4" x14ac:dyDescent="0.3">
      <c r="A320" s="1">
        <v>41523</v>
      </c>
      <c r="C320">
        <v>116.12</v>
      </c>
      <c r="D320" s="1">
        <f t="shared" si="4"/>
        <v>41547</v>
      </c>
    </row>
    <row r="321" spans="1:4" x14ac:dyDescent="0.3">
      <c r="A321" s="1">
        <v>41530</v>
      </c>
      <c r="C321">
        <v>112.78</v>
      </c>
      <c r="D321" s="1">
        <f t="shared" si="4"/>
        <v>41547</v>
      </c>
    </row>
    <row r="322" spans="1:4" x14ac:dyDescent="0.3">
      <c r="A322" s="1">
        <v>41537</v>
      </c>
      <c r="C322">
        <v>109.22</v>
      </c>
      <c r="D322" s="1">
        <f t="shared" si="4"/>
        <v>41547</v>
      </c>
    </row>
    <row r="323" spans="1:4" x14ac:dyDescent="0.3">
      <c r="A323" s="1">
        <v>41544</v>
      </c>
      <c r="C323">
        <v>108.63</v>
      </c>
      <c r="D323" s="1">
        <f t="shared" ref="D323:D386" si="5">EOMONTH(A323,0)</f>
        <v>41547</v>
      </c>
    </row>
    <row r="324" spans="1:4" x14ac:dyDescent="0.3">
      <c r="A324" s="1">
        <v>41551</v>
      </c>
      <c r="C324">
        <v>109.46</v>
      </c>
      <c r="D324" s="1">
        <f t="shared" si="5"/>
        <v>41578</v>
      </c>
    </row>
    <row r="325" spans="1:4" x14ac:dyDescent="0.3">
      <c r="A325" s="1">
        <v>41558</v>
      </c>
      <c r="C325">
        <v>111.28</v>
      </c>
      <c r="D325" s="1">
        <f t="shared" si="5"/>
        <v>41578</v>
      </c>
    </row>
    <row r="326" spans="1:4" x14ac:dyDescent="0.3">
      <c r="A326" s="1">
        <v>41565</v>
      </c>
      <c r="C326">
        <v>109.94</v>
      </c>
      <c r="D326" s="1">
        <f t="shared" si="5"/>
        <v>41578</v>
      </c>
    </row>
    <row r="327" spans="1:4" x14ac:dyDescent="0.3">
      <c r="A327" s="1">
        <v>41572</v>
      </c>
      <c r="C327">
        <v>106.93</v>
      </c>
      <c r="D327" s="1">
        <f t="shared" si="5"/>
        <v>41578</v>
      </c>
    </row>
    <row r="328" spans="1:4" x14ac:dyDescent="0.3">
      <c r="A328" s="1">
        <v>41579</v>
      </c>
      <c r="C328">
        <v>105.91</v>
      </c>
      <c r="D328" s="1">
        <f t="shared" si="5"/>
        <v>41608</v>
      </c>
    </row>
    <row r="329" spans="1:4" x14ac:dyDescent="0.3">
      <c r="A329" s="1">
        <v>41586</v>
      </c>
      <c r="C329">
        <v>105.12</v>
      </c>
      <c r="D329" s="1">
        <f t="shared" si="5"/>
        <v>41608</v>
      </c>
    </row>
    <row r="330" spans="1:4" x14ac:dyDescent="0.3">
      <c r="A330" s="1">
        <v>41593</v>
      </c>
      <c r="C330">
        <v>108.5</v>
      </c>
      <c r="D330" s="1">
        <f t="shared" si="5"/>
        <v>41608</v>
      </c>
    </row>
    <row r="331" spans="1:4" x14ac:dyDescent="0.3">
      <c r="A331" s="1">
        <v>41600</v>
      </c>
      <c r="C331">
        <v>111.05</v>
      </c>
      <c r="D331" s="1">
        <f t="shared" si="5"/>
        <v>41608</v>
      </c>
    </row>
    <row r="332" spans="1:4" x14ac:dyDescent="0.3">
      <c r="A332" s="1">
        <v>41607</v>
      </c>
      <c r="C332">
        <v>109.69</v>
      </c>
      <c r="D332" s="1">
        <f t="shared" si="5"/>
        <v>41608</v>
      </c>
    </row>
    <row r="333" spans="1:4" x14ac:dyDescent="0.3">
      <c r="A333" s="1">
        <v>41614</v>
      </c>
      <c r="C333">
        <v>111.61</v>
      </c>
      <c r="D333" s="1">
        <f t="shared" si="5"/>
        <v>41639</v>
      </c>
    </row>
    <row r="334" spans="1:4" x14ac:dyDescent="0.3">
      <c r="A334" s="1">
        <v>41621</v>
      </c>
      <c r="C334">
        <v>108.83</v>
      </c>
      <c r="D334" s="1">
        <f t="shared" si="5"/>
        <v>41639</v>
      </c>
    </row>
    <row r="335" spans="1:4" x14ac:dyDescent="0.3">
      <c r="A335" s="1">
        <v>41628</v>
      </c>
      <c r="C335">
        <v>111.77</v>
      </c>
      <c r="D335" s="1">
        <f t="shared" si="5"/>
        <v>41639</v>
      </c>
    </row>
    <row r="336" spans="1:4" x14ac:dyDescent="0.3">
      <c r="A336" s="1">
        <v>41635</v>
      </c>
      <c r="C336">
        <v>112.18</v>
      </c>
      <c r="D336" s="1">
        <f t="shared" si="5"/>
        <v>41639</v>
      </c>
    </row>
    <row r="337" spans="1:4" x14ac:dyDescent="0.3">
      <c r="A337" s="1">
        <v>41642</v>
      </c>
      <c r="C337">
        <v>106.89</v>
      </c>
      <c r="D337" s="1">
        <f t="shared" si="5"/>
        <v>41670</v>
      </c>
    </row>
    <row r="338" spans="1:4" x14ac:dyDescent="0.3">
      <c r="A338" s="1">
        <v>41649</v>
      </c>
      <c r="C338">
        <v>107.25</v>
      </c>
      <c r="D338" s="1">
        <f t="shared" si="5"/>
        <v>41670</v>
      </c>
    </row>
    <row r="339" spans="1:4" x14ac:dyDescent="0.3">
      <c r="A339" s="1">
        <v>41656</v>
      </c>
      <c r="C339">
        <v>106.48</v>
      </c>
      <c r="D339" s="1">
        <f t="shared" si="5"/>
        <v>41670</v>
      </c>
    </row>
    <row r="340" spans="1:4" x14ac:dyDescent="0.3">
      <c r="A340" s="1">
        <v>41663</v>
      </c>
      <c r="C340">
        <v>107.88</v>
      </c>
      <c r="D340" s="1">
        <f t="shared" si="5"/>
        <v>41670</v>
      </c>
    </row>
    <row r="341" spans="1:4" x14ac:dyDescent="0.3">
      <c r="A341" s="1">
        <v>41670</v>
      </c>
      <c r="C341">
        <v>106.4</v>
      </c>
      <c r="D341" s="1">
        <f t="shared" si="5"/>
        <v>41670</v>
      </c>
    </row>
    <row r="342" spans="1:4" x14ac:dyDescent="0.3">
      <c r="A342" s="1">
        <v>41677</v>
      </c>
      <c r="C342">
        <v>109.57</v>
      </c>
      <c r="D342" s="1">
        <f t="shared" si="5"/>
        <v>41698</v>
      </c>
    </row>
    <row r="343" spans="1:4" x14ac:dyDescent="0.3">
      <c r="A343" s="1">
        <v>41684</v>
      </c>
      <c r="C343">
        <v>109.08</v>
      </c>
      <c r="D343" s="1">
        <f t="shared" si="5"/>
        <v>41698</v>
      </c>
    </row>
    <row r="344" spans="1:4" x14ac:dyDescent="0.3">
      <c r="A344" s="1">
        <v>41691</v>
      </c>
      <c r="C344">
        <v>109.85</v>
      </c>
      <c r="D344" s="1">
        <f t="shared" si="5"/>
        <v>41698</v>
      </c>
    </row>
    <row r="345" spans="1:4" x14ac:dyDescent="0.3">
      <c r="A345" s="1">
        <v>41698</v>
      </c>
      <c r="C345">
        <v>109.07</v>
      </c>
      <c r="D345" s="1">
        <f t="shared" si="5"/>
        <v>41698</v>
      </c>
    </row>
    <row r="346" spans="1:4" x14ac:dyDescent="0.3">
      <c r="A346" s="1">
        <v>41705</v>
      </c>
      <c r="C346">
        <v>109</v>
      </c>
      <c r="D346" s="1">
        <f t="shared" si="5"/>
        <v>41729</v>
      </c>
    </row>
    <row r="347" spans="1:4" x14ac:dyDescent="0.3">
      <c r="A347" s="1">
        <v>41712</v>
      </c>
      <c r="C347">
        <v>108.57</v>
      </c>
      <c r="D347" s="1">
        <f t="shared" si="5"/>
        <v>41729</v>
      </c>
    </row>
    <row r="348" spans="1:4" x14ac:dyDescent="0.3">
      <c r="A348" s="1">
        <v>41719</v>
      </c>
      <c r="C348">
        <v>106.92</v>
      </c>
      <c r="D348" s="1">
        <f t="shared" si="5"/>
        <v>41729</v>
      </c>
    </row>
    <row r="349" spans="1:4" x14ac:dyDescent="0.3">
      <c r="A349" s="1">
        <v>41726</v>
      </c>
      <c r="C349">
        <v>108.07</v>
      </c>
      <c r="D349" s="1">
        <f t="shared" si="5"/>
        <v>41729</v>
      </c>
    </row>
    <row r="350" spans="1:4" x14ac:dyDescent="0.3">
      <c r="A350" s="1">
        <v>41733</v>
      </c>
      <c r="C350">
        <v>106.72</v>
      </c>
      <c r="D350" s="1">
        <f t="shared" si="5"/>
        <v>41759</v>
      </c>
    </row>
    <row r="351" spans="1:4" x14ac:dyDescent="0.3">
      <c r="A351" s="1">
        <v>41740</v>
      </c>
      <c r="C351">
        <v>107.33</v>
      </c>
      <c r="D351" s="1">
        <f t="shared" si="5"/>
        <v>41759</v>
      </c>
    </row>
    <row r="352" spans="1:4" x14ac:dyDescent="0.3">
      <c r="A352" s="1">
        <v>41747</v>
      </c>
      <c r="C352">
        <v>109.53</v>
      </c>
      <c r="D352" s="1">
        <f t="shared" si="5"/>
        <v>41759</v>
      </c>
    </row>
    <row r="353" spans="1:4" x14ac:dyDescent="0.3">
      <c r="A353" s="1">
        <v>41754</v>
      </c>
      <c r="C353">
        <v>109.58</v>
      </c>
      <c r="D353" s="1">
        <f t="shared" si="5"/>
        <v>41759</v>
      </c>
    </row>
    <row r="354" spans="1:4" x14ac:dyDescent="0.3">
      <c r="A354" s="1">
        <v>41761</v>
      </c>
      <c r="C354">
        <v>108.59</v>
      </c>
      <c r="D354" s="1">
        <f t="shared" si="5"/>
        <v>41790</v>
      </c>
    </row>
    <row r="355" spans="1:4" x14ac:dyDescent="0.3">
      <c r="A355" s="1">
        <v>41768</v>
      </c>
      <c r="C355">
        <v>107.89</v>
      </c>
      <c r="D355" s="1">
        <f t="shared" si="5"/>
        <v>41790</v>
      </c>
    </row>
    <row r="356" spans="1:4" x14ac:dyDescent="0.3">
      <c r="A356" s="1">
        <v>41775</v>
      </c>
      <c r="C356">
        <v>109.75</v>
      </c>
      <c r="D356" s="1">
        <f t="shared" si="5"/>
        <v>41790</v>
      </c>
    </row>
    <row r="357" spans="1:4" x14ac:dyDescent="0.3">
      <c r="A357" s="1">
        <v>41782</v>
      </c>
      <c r="C357">
        <v>110.54</v>
      </c>
      <c r="D357" s="1">
        <f t="shared" si="5"/>
        <v>41790</v>
      </c>
    </row>
    <row r="358" spans="1:4" x14ac:dyDescent="0.3">
      <c r="A358" s="1">
        <v>41789</v>
      </c>
      <c r="C358">
        <v>109.41</v>
      </c>
      <c r="D358" s="1">
        <f t="shared" si="5"/>
        <v>41790</v>
      </c>
    </row>
    <row r="359" spans="1:4" x14ac:dyDescent="0.3">
      <c r="A359" s="1">
        <v>41796</v>
      </c>
      <c r="C359">
        <v>108.61</v>
      </c>
      <c r="D359" s="1">
        <f t="shared" si="5"/>
        <v>41820</v>
      </c>
    </row>
    <row r="360" spans="1:4" x14ac:dyDescent="0.3">
      <c r="A360" s="1">
        <v>41803</v>
      </c>
      <c r="C360">
        <v>113.41</v>
      </c>
      <c r="D360" s="1">
        <f t="shared" si="5"/>
        <v>41820</v>
      </c>
    </row>
    <row r="361" spans="1:4" x14ac:dyDescent="0.3">
      <c r="A361" s="1">
        <v>41810</v>
      </c>
      <c r="C361">
        <v>114.81</v>
      </c>
      <c r="D361" s="1">
        <f t="shared" si="5"/>
        <v>41820</v>
      </c>
    </row>
    <row r="362" spans="1:4" x14ac:dyDescent="0.3">
      <c r="A362" s="1">
        <v>41817</v>
      </c>
      <c r="C362">
        <v>113.3</v>
      </c>
      <c r="D362" s="1">
        <f t="shared" si="5"/>
        <v>41820</v>
      </c>
    </row>
    <row r="363" spans="1:4" x14ac:dyDescent="0.3">
      <c r="A363" s="1">
        <v>41824</v>
      </c>
      <c r="C363">
        <v>111</v>
      </c>
      <c r="D363" s="1">
        <f t="shared" si="5"/>
        <v>41851</v>
      </c>
    </row>
    <row r="364" spans="1:4" x14ac:dyDescent="0.3">
      <c r="A364" s="1">
        <v>41831</v>
      </c>
      <c r="C364">
        <v>106.66</v>
      </c>
      <c r="D364" s="1">
        <f t="shared" si="5"/>
        <v>41851</v>
      </c>
    </row>
    <row r="365" spans="1:4" x14ac:dyDescent="0.3">
      <c r="A365" s="1">
        <v>41838</v>
      </c>
      <c r="C365">
        <v>107.24</v>
      </c>
      <c r="D365" s="1">
        <f t="shared" si="5"/>
        <v>41851</v>
      </c>
    </row>
    <row r="366" spans="1:4" x14ac:dyDescent="0.3">
      <c r="A366" s="1">
        <v>41845</v>
      </c>
      <c r="C366">
        <v>108.39</v>
      </c>
      <c r="D366" s="1">
        <f t="shared" si="5"/>
        <v>41851</v>
      </c>
    </row>
    <row r="367" spans="1:4" x14ac:dyDescent="0.3">
      <c r="A367" s="1">
        <v>41852</v>
      </c>
      <c r="C367">
        <v>104.84</v>
      </c>
      <c r="D367" s="1">
        <f t="shared" si="5"/>
        <v>41882</v>
      </c>
    </row>
    <row r="368" spans="1:4" x14ac:dyDescent="0.3">
      <c r="A368" s="1">
        <v>41859</v>
      </c>
      <c r="C368">
        <v>105.02</v>
      </c>
      <c r="D368" s="1">
        <f t="shared" si="5"/>
        <v>41882</v>
      </c>
    </row>
    <row r="369" spans="1:4" x14ac:dyDescent="0.3">
      <c r="A369" s="1">
        <v>41866</v>
      </c>
      <c r="C369">
        <v>103.53</v>
      </c>
      <c r="D369" s="1">
        <f t="shared" si="5"/>
        <v>41882</v>
      </c>
    </row>
    <row r="370" spans="1:4" x14ac:dyDescent="0.3">
      <c r="A370" s="1">
        <v>41873</v>
      </c>
      <c r="C370">
        <v>102.29</v>
      </c>
      <c r="D370" s="1">
        <f t="shared" si="5"/>
        <v>41882</v>
      </c>
    </row>
    <row r="371" spans="1:4" x14ac:dyDescent="0.3">
      <c r="A371" s="1">
        <v>41880</v>
      </c>
      <c r="C371">
        <v>103.19</v>
      </c>
      <c r="D371" s="1">
        <f t="shared" si="5"/>
        <v>41882</v>
      </c>
    </row>
    <row r="372" spans="1:4" x14ac:dyDescent="0.3">
      <c r="A372" s="1">
        <v>41887</v>
      </c>
      <c r="C372">
        <v>100.82</v>
      </c>
      <c r="D372" s="1">
        <f t="shared" si="5"/>
        <v>41912</v>
      </c>
    </row>
    <row r="373" spans="1:4" x14ac:dyDescent="0.3">
      <c r="A373" s="1">
        <v>41894</v>
      </c>
      <c r="C373">
        <v>97.11</v>
      </c>
      <c r="D373" s="1">
        <f t="shared" si="5"/>
        <v>41912</v>
      </c>
    </row>
    <row r="374" spans="1:4" x14ac:dyDescent="0.3">
      <c r="A374" s="1">
        <v>41901</v>
      </c>
      <c r="C374">
        <v>98.39</v>
      </c>
      <c r="D374" s="1">
        <f t="shared" si="5"/>
        <v>41912</v>
      </c>
    </row>
    <row r="375" spans="1:4" x14ac:dyDescent="0.3">
      <c r="A375" s="1">
        <v>41908</v>
      </c>
      <c r="C375">
        <v>97</v>
      </c>
      <c r="D375" s="1">
        <f t="shared" si="5"/>
        <v>41912</v>
      </c>
    </row>
    <row r="376" spans="1:4" x14ac:dyDescent="0.3">
      <c r="A376" s="1">
        <v>41915</v>
      </c>
      <c r="C376">
        <v>92.31</v>
      </c>
      <c r="D376" s="1">
        <f t="shared" si="5"/>
        <v>41943</v>
      </c>
    </row>
    <row r="377" spans="1:4" x14ac:dyDescent="0.3">
      <c r="A377" s="1">
        <v>41922</v>
      </c>
      <c r="C377">
        <v>90.21</v>
      </c>
      <c r="D377" s="1">
        <f t="shared" si="5"/>
        <v>41943</v>
      </c>
    </row>
    <row r="378" spans="1:4" x14ac:dyDescent="0.3">
      <c r="A378" s="1">
        <v>41929</v>
      </c>
      <c r="C378">
        <v>86.16</v>
      </c>
      <c r="D378" s="1">
        <f t="shared" si="5"/>
        <v>41943</v>
      </c>
    </row>
    <row r="379" spans="1:4" x14ac:dyDescent="0.3">
      <c r="A379" s="1">
        <v>41936</v>
      </c>
      <c r="C379">
        <v>86.13</v>
      </c>
      <c r="D379" s="1">
        <f t="shared" si="5"/>
        <v>41943</v>
      </c>
    </row>
    <row r="380" spans="1:4" x14ac:dyDescent="0.3">
      <c r="A380" s="1">
        <v>41943</v>
      </c>
      <c r="C380">
        <v>85.86</v>
      </c>
      <c r="D380" s="1">
        <f t="shared" si="5"/>
        <v>41943</v>
      </c>
    </row>
    <row r="381" spans="1:4" x14ac:dyDescent="0.3">
      <c r="A381" s="1">
        <v>41950</v>
      </c>
      <c r="C381">
        <v>83.39</v>
      </c>
      <c r="D381" s="1">
        <f t="shared" si="5"/>
        <v>41973</v>
      </c>
    </row>
    <row r="382" spans="1:4" x14ac:dyDescent="0.3">
      <c r="A382" s="1">
        <v>41957</v>
      </c>
      <c r="C382">
        <v>79.41</v>
      </c>
      <c r="D382" s="1">
        <f t="shared" si="5"/>
        <v>41973</v>
      </c>
    </row>
    <row r="383" spans="1:4" x14ac:dyDescent="0.3">
      <c r="A383" s="1">
        <v>41964</v>
      </c>
      <c r="C383">
        <v>80.36</v>
      </c>
      <c r="D383" s="1">
        <f t="shared" si="5"/>
        <v>41973</v>
      </c>
    </row>
    <row r="384" spans="1:4" x14ac:dyDescent="0.3">
      <c r="A384" s="1">
        <v>41971</v>
      </c>
      <c r="C384">
        <v>70.150000000000006</v>
      </c>
      <c r="D384" s="1">
        <f t="shared" si="5"/>
        <v>41973</v>
      </c>
    </row>
    <row r="385" spans="1:4" x14ac:dyDescent="0.3">
      <c r="A385" s="1">
        <v>41978</v>
      </c>
      <c r="C385">
        <v>69.069999999999993</v>
      </c>
      <c r="D385" s="1">
        <f t="shared" si="5"/>
        <v>42004</v>
      </c>
    </row>
    <row r="386" spans="1:4" x14ac:dyDescent="0.3">
      <c r="A386" s="1">
        <v>41985</v>
      </c>
      <c r="C386">
        <v>61.85</v>
      </c>
      <c r="D386" s="1">
        <f t="shared" si="5"/>
        <v>42004</v>
      </c>
    </row>
    <row r="387" spans="1:4" x14ac:dyDescent="0.3">
      <c r="A387" s="1">
        <v>41992</v>
      </c>
      <c r="C387">
        <v>61.38</v>
      </c>
      <c r="D387" s="1">
        <f t="shared" ref="D387:D450" si="6">EOMONTH(A387,0)</f>
        <v>42004</v>
      </c>
    </row>
    <row r="388" spans="1:4" x14ac:dyDescent="0.3">
      <c r="A388" s="1">
        <v>41999</v>
      </c>
      <c r="C388">
        <v>59.45</v>
      </c>
      <c r="D388" s="1">
        <f t="shared" si="6"/>
        <v>42004</v>
      </c>
    </row>
    <row r="389" spans="1:4" x14ac:dyDescent="0.3">
      <c r="A389" s="1">
        <v>42006</v>
      </c>
      <c r="C389">
        <v>56.42</v>
      </c>
      <c r="D389" s="1">
        <f t="shared" si="6"/>
        <v>42035</v>
      </c>
    </row>
    <row r="390" spans="1:4" x14ac:dyDescent="0.3">
      <c r="A390" s="1">
        <v>42013</v>
      </c>
      <c r="C390">
        <v>50.11</v>
      </c>
      <c r="D390" s="1">
        <f t="shared" si="6"/>
        <v>42035</v>
      </c>
    </row>
    <row r="391" spans="1:4" x14ac:dyDescent="0.3">
      <c r="A391" s="1">
        <v>42020</v>
      </c>
      <c r="C391">
        <v>50.17</v>
      </c>
      <c r="D391" s="1">
        <f t="shared" si="6"/>
        <v>42035</v>
      </c>
    </row>
    <row r="392" spans="1:4" x14ac:dyDescent="0.3">
      <c r="A392" s="1">
        <v>42027</v>
      </c>
      <c r="C392">
        <v>48.79</v>
      </c>
      <c r="D392" s="1">
        <f t="shared" si="6"/>
        <v>42035</v>
      </c>
    </row>
    <row r="393" spans="1:4" x14ac:dyDescent="0.3">
      <c r="A393" s="1">
        <v>42034</v>
      </c>
      <c r="C393">
        <v>52.99</v>
      </c>
      <c r="D393" s="1">
        <f t="shared" si="6"/>
        <v>42035</v>
      </c>
    </row>
    <row r="394" spans="1:4" x14ac:dyDescent="0.3">
      <c r="A394" s="1">
        <v>42041</v>
      </c>
      <c r="C394">
        <v>57.8</v>
      </c>
      <c r="D394" s="1">
        <f t="shared" si="6"/>
        <v>42063</v>
      </c>
    </row>
    <row r="395" spans="1:4" x14ac:dyDescent="0.3">
      <c r="A395" s="1">
        <v>42048</v>
      </c>
      <c r="C395">
        <v>61.52</v>
      </c>
      <c r="D395" s="1">
        <f t="shared" si="6"/>
        <v>42063</v>
      </c>
    </row>
    <row r="396" spans="1:4" x14ac:dyDescent="0.3">
      <c r="A396" s="1">
        <v>42055</v>
      </c>
      <c r="C396">
        <v>60.22</v>
      </c>
      <c r="D396" s="1">
        <f t="shared" si="6"/>
        <v>42063</v>
      </c>
    </row>
    <row r="397" spans="1:4" x14ac:dyDescent="0.3">
      <c r="A397" s="1">
        <v>42062</v>
      </c>
      <c r="C397">
        <v>62.58</v>
      </c>
      <c r="D397" s="1">
        <f t="shared" si="6"/>
        <v>42063</v>
      </c>
    </row>
    <row r="398" spans="1:4" x14ac:dyDescent="0.3">
      <c r="A398" s="1">
        <v>42069</v>
      </c>
      <c r="C398">
        <v>59.73</v>
      </c>
      <c r="D398" s="1">
        <f t="shared" si="6"/>
        <v>42094</v>
      </c>
    </row>
    <row r="399" spans="1:4" x14ac:dyDescent="0.3">
      <c r="A399" s="1">
        <v>42076</v>
      </c>
      <c r="C399">
        <v>54.67</v>
      </c>
      <c r="D399" s="1">
        <f t="shared" si="6"/>
        <v>42094</v>
      </c>
    </row>
    <row r="400" spans="1:4" x14ac:dyDescent="0.3">
      <c r="A400" s="1">
        <v>42083</v>
      </c>
      <c r="C400">
        <v>55.32</v>
      </c>
      <c r="D400" s="1">
        <f t="shared" si="6"/>
        <v>42094</v>
      </c>
    </row>
    <row r="401" spans="1:4" x14ac:dyDescent="0.3">
      <c r="A401" s="1">
        <v>42090</v>
      </c>
      <c r="C401">
        <v>56.41</v>
      </c>
      <c r="D401" s="1">
        <f t="shared" si="6"/>
        <v>42094</v>
      </c>
    </row>
    <row r="402" spans="1:4" x14ac:dyDescent="0.3">
      <c r="A402" s="1">
        <v>42097</v>
      </c>
      <c r="C402">
        <v>54.95</v>
      </c>
      <c r="D402" s="1">
        <f t="shared" si="6"/>
        <v>42124</v>
      </c>
    </row>
    <row r="403" spans="1:4" x14ac:dyDescent="0.3">
      <c r="A403" s="1">
        <v>42104</v>
      </c>
      <c r="C403">
        <v>57.87</v>
      </c>
      <c r="D403" s="1">
        <f t="shared" si="6"/>
        <v>42124</v>
      </c>
    </row>
    <row r="404" spans="1:4" x14ac:dyDescent="0.3">
      <c r="A404" s="1">
        <v>42111</v>
      </c>
      <c r="C404">
        <v>63.45</v>
      </c>
      <c r="D404" s="1">
        <f t="shared" si="6"/>
        <v>42124</v>
      </c>
    </row>
    <row r="405" spans="1:4" x14ac:dyDescent="0.3">
      <c r="A405" s="1">
        <v>42118</v>
      </c>
      <c r="C405">
        <v>65.28</v>
      </c>
      <c r="D405" s="1">
        <f t="shared" si="6"/>
        <v>42124</v>
      </c>
    </row>
    <row r="406" spans="1:4" x14ac:dyDescent="0.3">
      <c r="A406" s="1">
        <v>42125</v>
      </c>
      <c r="C406">
        <v>66.459999999999994</v>
      </c>
      <c r="D406" s="1">
        <f t="shared" si="6"/>
        <v>42155</v>
      </c>
    </row>
    <row r="407" spans="1:4" x14ac:dyDescent="0.3">
      <c r="A407" s="1">
        <v>42132</v>
      </c>
      <c r="C407">
        <v>65.39</v>
      </c>
      <c r="D407" s="1">
        <f t="shared" si="6"/>
        <v>42155</v>
      </c>
    </row>
    <row r="408" spans="1:4" x14ac:dyDescent="0.3">
      <c r="A408" s="1">
        <v>42139</v>
      </c>
      <c r="C408">
        <v>66.81</v>
      </c>
      <c r="D408" s="1">
        <f t="shared" si="6"/>
        <v>42155</v>
      </c>
    </row>
    <row r="409" spans="1:4" x14ac:dyDescent="0.3">
      <c r="A409" s="1">
        <v>42146</v>
      </c>
      <c r="C409">
        <v>65.37</v>
      </c>
      <c r="D409" s="1">
        <f t="shared" si="6"/>
        <v>42155</v>
      </c>
    </row>
    <row r="410" spans="1:4" x14ac:dyDescent="0.3">
      <c r="A410" s="1">
        <v>42153</v>
      </c>
      <c r="C410">
        <v>65.56</v>
      </c>
      <c r="D410" s="1">
        <f t="shared" si="6"/>
        <v>42155</v>
      </c>
    </row>
    <row r="411" spans="1:4" x14ac:dyDescent="0.3">
      <c r="A411" s="1">
        <v>42160</v>
      </c>
      <c r="C411">
        <v>63.31</v>
      </c>
      <c r="D411" s="1">
        <f t="shared" si="6"/>
        <v>42185</v>
      </c>
    </row>
    <row r="412" spans="1:4" x14ac:dyDescent="0.3">
      <c r="A412" s="1">
        <v>42167</v>
      </c>
      <c r="C412">
        <v>63.87</v>
      </c>
      <c r="D412" s="1">
        <f t="shared" si="6"/>
        <v>42185</v>
      </c>
    </row>
    <row r="413" spans="1:4" x14ac:dyDescent="0.3">
      <c r="A413" s="1">
        <v>42174</v>
      </c>
      <c r="C413">
        <v>63.02</v>
      </c>
      <c r="D413" s="1">
        <f t="shared" si="6"/>
        <v>42185</v>
      </c>
    </row>
    <row r="414" spans="1:4" x14ac:dyDescent="0.3">
      <c r="A414" s="1">
        <v>42181</v>
      </c>
      <c r="C414">
        <v>63.26</v>
      </c>
      <c r="D414" s="1">
        <f t="shared" si="6"/>
        <v>42185</v>
      </c>
    </row>
    <row r="415" spans="1:4" x14ac:dyDescent="0.3">
      <c r="A415" s="1">
        <v>42188</v>
      </c>
      <c r="C415">
        <v>62.07</v>
      </c>
      <c r="D415" s="1">
        <f t="shared" si="6"/>
        <v>42216</v>
      </c>
    </row>
    <row r="416" spans="1:4" x14ac:dyDescent="0.3">
      <c r="A416" s="1">
        <v>42195</v>
      </c>
      <c r="C416">
        <v>58.73</v>
      </c>
      <c r="D416" s="1">
        <f t="shared" si="6"/>
        <v>42216</v>
      </c>
    </row>
    <row r="417" spans="1:4" x14ac:dyDescent="0.3">
      <c r="A417" s="1">
        <v>42202</v>
      </c>
      <c r="C417">
        <v>57.1</v>
      </c>
      <c r="D417" s="1">
        <f t="shared" si="6"/>
        <v>42216</v>
      </c>
    </row>
    <row r="418" spans="1:4" x14ac:dyDescent="0.3">
      <c r="A418" s="1">
        <v>42209</v>
      </c>
      <c r="C418">
        <v>54.62</v>
      </c>
      <c r="D418" s="1">
        <f t="shared" si="6"/>
        <v>42216</v>
      </c>
    </row>
    <row r="419" spans="1:4" x14ac:dyDescent="0.3">
      <c r="A419" s="1">
        <v>42216</v>
      </c>
      <c r="C419">
        <v>52.21</v>
      </c>
      <c r="D419" s="1">
        <f t="shared" si="6"/>
        <v>42216</v>
      </c>
    </row>
    <row r="420" spans="1:4" x14ac:dyDescent="0.3">
      <c r="A420" s="1">
        <v>42223</v>
      </c>
      <c r="C420">
        <v>48.61</v>
      </c>
      <c r="D420" s="1">
        <f t="shared" si="6"/>
        <v>42247</v>
      </c>
    </row>
    <row r="421" spans="1:4" x14ac:dyDescent="0.3">
      <c r="A421" s="1">
        <v>42230</v>
      </c>
      <c r="C421">
        <v>49.03</v>
      </c>
      <c r="D421" s="1">
        <f t="shared" si="6"/>
        <v>42247</v>
      </c>
    </row>
    <row r="422" spans="1:4" x14ac:dyDescent="0.3">
      <c r="A422" s="1">
        <v>42237</v>
      </c>
      <c r="C422">
        <v>45.46</v>
      </c>
      <c r="D422" s="1">
        <f t="shared" si="6"/>
        <v>42247</v>
      </c>
    </row>
    <row r="423" spans="1:4" x14ac:dyDescent="0.3">
      <c r="A423" s="1">
        <v>42244</v>
      </c>
      <c r="C423">
        <v>50.05</v>
      </c>
      <c r="D423" s="1">
        <f t="shared" si="6"/>
        <v>42247</v>
      </c>
    </row>
    <row r="424" spans="1:4" x14ac:dyDescent="0.3">
      <c r="A424" s="1">
        <v>42251</v>
      </c>
      <c r="C424">
        <v>49.61</v>
      </c>
      <c r="D424" s="1">
        <f t="shared" si="6"/>
        <v>42277</v>
      </c>
    </row>
    <row r="425" spans="1:4" x14ac:dyDescent="0.3">
      <c r="A425" s="1">
        <v>42258</v>
      </c>
      <c r="C425">
        <v>48.14</v>
      </c>
      <c r="D425" s="1">
        <f t="shared" si="6"/>
        <v>42277</v>
      </c>
    </row>
    <row r="426" spans="1:4" x14ac:dyDescent="0.3">
      <c r="A426" s="1">
        <v>42265</v>
      </c>
      <c r="C426">
        <v>47.47</v>
      </c>
      <c r="D426" s="1">
        <f t="shared" si="6"/>
        <v>42277</v>
      </c>
    </row>
    <row r="427" spans="1:4" x14ac:dyDescent="0.3">
      <c r="A427" s="1">
        <v>42272</v>
      </c>
      <c r="C427">
        <v>48.6</v>
      </c>
      <c r="D427" s="1">
        <f t="shared" si="6"/>
        <v>42277</v>
      </c>
    </row>
    <row r="428" spans="1:4" x14ac:dyDescent="0.3">
      <c r="A428" s="1">
        <v>42279</v>
      </c>
      <c r="C428">
        <v>48.13</v>
      </c>
      <c r="D428" s="1">
        <f t="shared" si="6"/>
        <v>42308</v>
      </c>
    </row>
    <row r="429" spans="1:4" x14ac:dyDescent="0.3">
      <c r="A429" s="1">
        <v>42286</v>
      </c>
      <c r="C429">
        <v>52.65</v>
      </c>
      <c r="D429" s="1">
        <f t="shared" si="6"/>
        <v>42308</v>
      </c>
    </row>
    <row r="430" spans="1:4" x14ac:dyDescent="0.3">
      <c r="A430" s="1">
        <v>42293</v>
      </c>
      <c r="C430">
        <v>50.46</v>
      </c>
      <c r="D430" s="1">
        <f t="shared" si="6"/>
        <v>42308</v>
      </c>
    </row>
    <row r="431" spans="1:4" x14ac:dyDescent="0.3">
      <c r="A431" s="1">
        <v>42300</v>
      </c>
      <c r="C431">
        <v>47.99</v>
      </c>
      <c r="D431" s="1">
        <f t="shared" si="6"/>
        <v>42308</v>
      </c>
    </row>
    <row r="432" spans="1:4" x14ac:dyDescent="0.3">
      <c r="A432" s="1">
        <v>42307</v>
      </c>
      <c r="C432">
        <v>49.56</v>
      </c>
      <c r="D432" s="1">
        <f t="shared" si="6"/>
        <v>42308</v>
      </c>
    </row>
    <row r="433" spans="1:4" x14ac:dyDescent="0.3">
      <c r="A433" s="1">
        <v>42314</v>
      </c>
      <c r="C433">
        <v>47.42</v>
      </c>
      <c r="D433" s="1">
        <f t="shared" si="6"/>
        <v>42338</v>
      </c>
    </row>
    <row r="434" spans="1:4" x14ac:dyDescent="0.3">
      <c r="A434" s="1">
        <v>42321</v>
      </c>
      <c r="C434">
        <v>43.61</v>
      </c>
      <c r="D434" s="1">
        <f t="shared" si="6"/>
        <v>42338</v>
      </c>
    </row>
    <row r="435" spans="1:4" x14ac:dyDescent="0.3">
      <c r="A435" s="1">
        <v>42328</v>
      </c>
      <c r="C435">
        <v>44.66</v>
      </c>
      <c r="D435" s="1">
        <f t="shared" si="6"/>
        <v>42338</v>
      </c>
    </row>
    <row r="436" spans="1:4" x14ac:dyDescent="0.3">
      <c r="A436" s="1">
        <v>42335</v>
      </c>
      <c r="C436">
        <v>44.86</v>
      </c>
      <c r="D436" s="1">
        <f t="shared" si="6"/>
        <v>42338</v>
      </c>
    </row>
    <row r="437" spans="1:4" x14ac:dyDescent="0.3">
      <c r="A437" s="1">
        <v>42342</v>
      </c>
      <c r="C437">
        <v>43</v>
      </c>
      <c r="D437" s="1">
        <f t="shared" si="6"/>
        <v>42369</v>
      </c>
    </row>
    <row r="438" spans="1:4" x14ac:dyDescent="0.3">
      <c r="A438" s="1">
        <v>42349</v>
      </c>
      <c r="C438">
        <v>37.93</v>
      </c>
      <c r="D438" s="1">
        <f t="shared" si="6"/>
        <v>42369</v>
      </c>
    </row>
    <row r="439" spans="1:4" x14ac:dyDescent="0.3">
      <c r="A439" s="1">
        <v>42356</v>
      </c>
      <c r="C439">
        <v>36.880000000000003</v>
      </c>
      <c r="D439" s="1">
        <f t="shared" si="6"/>
        <v>42369</v>
      </c>
    </row>
    <row r="440" spans="1:4" x14ac:dyDescent="0.3">
      <c r="A440" s="1">
        <v>42363</v>
      </c>
      <c r="C440">
        <v>37.89</v>
      </c>
      <c r="D440" s="1">
        <f t="shared" si="6"/>
        <v>42369</v>
      </c>
    </row>
    <row r="441" spans="1:4" x14ac:dyDescent="0.3">
      <c r="A441" s="1">
        <v>42370</v>
      </c>
      <c r="C441">
        <v>37.28</v>
      </c>
      <c r="D441" s="1">
        <f t="shared" si="6"/>
        <v>42400</v>
      </c>
    </row>
    <row r="442" spans="1:4" x14ac:dyDescent="0.3">
      <c r="A442" s="1">
        <v>42377</v>
      </c>
      <c r="C442">
        <v>33.549999999999997</v>
      </c>
      <c r="D442" s="1">
        <f t="shared" si="6"/>
        <v>42400</v>
      </c>
    </row>
    <row r="443" spans="1:4" x14ac:dyDescent="0.3">
      <c r="A443" s="1">
        <v>42384</v>
      </c>
      <c r="C443">
        <v>28.94</v>
      </c>
      <c r="D443" s="1">
        <f t="shared" si="6"/>
        <v>42400</v>
      </c>
    </row>
    <row r="444" spans="1:4" x14ac:dyDescent="0.3">
      <c r="A444" s="1">
        <v>42391</v>
      </c>
      <c r="C444">
        <v>32.18</v>
      </c>
      <c r="D444" s="1">
        <f t="shared" si="6"/>
        <v>42400</v>
      </c>
    </row>
    <row r="445" spans="1:4" x14ac:dyDescent="0.3">
      <c r="A445" s="1">
        <v>42398</v>
      </c>
      <c r="C445">
        <v>34.74</v>
      </c>
      <c r="D445" s="1">
        <f t="shared" si="6"/>
        <v>42400</v>
      </c>
    </row>
    <row r="446" spans="1:4" x14ac:dyDescent="0.3">
      <c r="A446" s="1">
        <v>42405</v>
      </c>
      <c r="C446">
        <v>34.06</v>
      </c>
      <c r="D446" s="1">
        <f t="shared" si="6"/>
        <v>42429</v>
      </c>
    </row>
    <row r="447" spans="1:4" x14ac:dyDescent="0.3">
      <c r="A447" s="1">
        <v>42412</v>
      </c>
      <c r="C447">
        <v>33.36</v>
      </c>
      <c r="D447" s="1">
        <f t="shared" si="6"/>
        <v>42429</v>
      </c>
    </row>
    <row r="448" spans="1:4" x14ac:dyDescent="0.3">
      <c r="A448" s="1">
        <v>42419</v>
      </c>
      <c r="C448">
        <v>33.01</v>
      </c>
      <c r="D448" s="1">
        <f t="shared" si="6"/>
        <v>42429</v>
      </c>
    </row>
    <row r="449" spans="1:4" x14ac:dyDescent="0.3">
      <c r="A449" s="1">
        <v>42426</v>
      </c>
      <c r="C449">
        <v>35.1</v>
      </c>
      <c r="D449" s="1">
        <f t="shared" si="6"/>
        <v>42429</v>
      </c>
    </row>
    <row r="450" spans="1:4" x14ac:dyDescent="0.3">
      <c r="A450" s="1">
        <v>42433</v>
      </c>
      <c r="C450">
        <v>38.72</v>
      </c>
      <c r="D450" s="1">
        <f t="shared" si="6"/>
        <v>42460</v>
      </c>
    </row>
    <row r="451" spans="1:4" x14ac:dyDescent="0.3">
      <c r="A451" s="1">
        <v>42440</v>
      </c>
      <c r="C451">
        <v>40.39</v>
      </c>
      <c r="D451" s="1">
        <f t="shared" ref="D451:D514" si="7">EOMONTH(A451,0)</f>
        <v>42460</v>
      </c>
    </row>
    <row r="452" spans="1:4" x14ac:dyDescent="0.3">
      <c r="A452" s="1">
        <v>42447</v>
      </c>
      <c r="C452">
        <v>41.2</v>
      </c>
      <c r="D452" s="1">
        <f t="shared" si="7"/>
        <v>42460</v>
      </c>
    </row>
    <row r="453" spans="1:4" x14ac:dyDescent="0.3">
      <c r="A453" s="1">
        <v>42454</v>
      </c>
      <c r="C453">
        <v>40.44</v>
      </c>
      <c r="D453" s="1">
        <f t="shared" si="7"/>
        <v>42460</v>
      </c>
    </row>
    <row r="454" spans="1:4" x14ac:dyDescent="0.3">
      <c r="A454" s="1">
        <v>42461</v>
      </c>
      <c r="C454">
        <v>38.67</v>
      </c>
      <c r="D454" s="1">
        <f t="shared" si="7"/>
        <v>42490</v>
      </c>
    </row>
    <row r="455" spans="1:4" x14ac:dyDescent="0.3">
      <c r="A455" s="1">
        <v>42468</v>
      </c>
      <c r="C455">
        <v>41.94</v>
      </c>
      <c r="D455" s="1">
        <f t="shared" si="7"/>
        <v>42490</v>
      </c>
    </row>
    <row r="456" spans="1:4" x14ac:dyDescent="0.3">
      <c r="A456" s="1">
        <v>42475</v>
      </c>
      <c r="C456">
        <v>43.1</v>
      </c>
      <c r="D456" s="1">
        <f t="shared" si="7"/>
        <v>42490</v>
      </c>
    </row>
    <row r="457" spans="1:4" x14ac:dyDescent="0.3">
      <c r="A457" s="1">
        <v>42482</v>
      </c>
      <c r="C457">
        <v>45.11</v>
      </c>
      <c r="D457" s="1">
        <f t="shared" si="7"/>
        <v>42490</v>
      </c>
    </row>
    <row r="458" spans="1:4" x14ac:dyDescent="0.3">
      <c r="A458" s="1">
        <v>42489</v>
      </c>
      <c r="C458">
        <v>48.13</v>
      </c>
      <c r="D458" s="1">
        <f t="shared" si="7"/>
        <v>42490</v>
      </c>
    </row>
    <row r="459" spans="1:4" x14ac:dyDescent="0.3">
      <c r="A459" s="1">
        <v>42496</v>
      </c>
      <c r="C459">
        <v>45.37</v>
      </c>
      <c r="D459" s="1">
        <f t="shared" si="7"/>
        <v>42521</v>
      </c>
    </row>
    <row r="460" spans="1:4" x14ac:dyDescent="0.3">
      <c r="A460" s="1">
        <v>42503</v>
      </c>
      <c r="C460">
        <v>47.83</v>
      </c>
      <c r="D460" s="1">
        <f t="shared" si="7"/>
        <v>42521</v>
      </c>
    </row>
    <row r="461" spans="1:4" x14ac:dyDescent="0.3">
      <c r="A461" s="1">
        <v>42510</v>
      </c>
      <c r="C461">
        <v>48.72</v>
      </c>
      <c r="D461" s="1">
        <f t="shared" si="7"/>
        <v>42521</v>
      </c>
    </row>
    <row r="462" spans="1:4" x14ac:dyDescent="0.3">
      <c r="A462" s="1">
        <v>42517</v>
      </c>
      <c r="C462">
        <v>49.32</v>
      </c>
      <c r="D462" s="1">
        <f t="shared" si="7"/>
        <v>42521</v>
      </c>
    </row>
    <row r="463" spans="1:4" x14ac:dyDescent="0.3">
      <c r="A463" s="1">
        <v>42524</v>
      </c>
      <c r="C463">
        <v>49.64</v>
      </c>
      <c r="D463" s="1">
        <f t="shared" si="7"/>
        <v>42551</v>
      </c>
    </row>
    <row r="464" spans="1:4" x14ac:dyDescent="0.3">
      <c r="A464" s="1">
        <v>42531</v>
      </c>
      <c r="C464">
        <v>50.54</v>
      </c>
      <c r="D464" s="1">
        <f t="shared" si="7"/>
        <v>42551</v>
      </c>
    </row>
    <row r="465" spans="1:4" x14ac:dyDescent="0.3">
      <c r="A465" s="1">
        <v>42538</v>
      </c>
      <c r="C465">
        <v>49.17</v>
      </c>
      <c r="D465" s="1">
        <f t="shared" si="7"/>
        <v>42551</v>
      </c>
    </row>
    <row r="466" spans="1:4" x14ac:dyDescent="0.3">
      <c r="A466" s="1">
        <v>42545</v>
      </c>
      <c r="C466">
        <v>48.41</v>
      </c>
      <c r="D466" s="1">
        <f t="shared" si="7"/>
        <v>42551</v>
      </c>
    </row>
    <row r="467" spans="1:4" x14ac:dyDescent="0.3">
      <c r="A467" s="1">
        <v>42552</v>
      </c>
      <c r="C467">
        <v>50.35</v>
      </c>
      <c r="D467" s="1">
        <f t="shared" si="7"/>
        <v>42582</v>
      </c>
    </row>
    <row r="468" spans="1:4" x14ac:dyDescent="0.3">
      <c r="A468" s="1">
        <v>42559</v>
      </c>
      <c r="C468">
        <v>46.76</v>
      </c>
      <c r="D468" s="1">
        <f t="shared" si="7"/>
        <v>42582</v>
      </c>
    </row>
    <row r="469" spans="1:4" x14ac:dyDescent="0.3">
      <c r="A469" s="1">
        <v>42566</v>
      </c>
      <c r="C469">
        <v>47.61</v>
      </c>
      <c r="D469" s="1">
        <f t="shared" si="7"/>
        <v>42582</v>
      </c>
    </row>
    <row r="470" spans="1:4" x14ac:dyDescent="0.3">
      <c r="A470" s="1">
        <v>42573</v>
      </c>
      <c r="C470">
        <v>45.69</v>
      </c>
      <c r="D470" s="1">
        <f t="shared" si="7"/>
        <v>42582</v>
      </c>
    </row>
    <row r="471" spans="1:4" x14ac:dyDescent="0.3">
      <c r="A471" s="1">
        <v>42580</v>
      </c>
      <c r="C471">
        <v>42.46</v>
      </c>
      <c r="D471" s="1">
        <f t="shared" si="7"/>
        <v>42582</v>
      </c>
    </row>
    <row r="472" spans="1:4" x14ac:dyDescent="0.3">
      <c r="A472" s="1">
        <v>42587</v>
      </c>
      <c r="C472">
        <v>44.27</v>
      </c>
      <c r="D472" s="1">
        <f t="shared" si="7"/>
        <v>42613</v>
      </c>
    </row>
    <row r="473" spans="1:4" x14ac:dyDescent="0.3">
      <c r="A473" s="1">
        <v>42594</v>
      </c>
      <c r="C473">
        <v>46.97</v>
      </c>
      <c r="D473" s="1">
        <f t="shared" si="7"/>
        <v>42613</v>
      </c>
    </row>
    <row r="474" spans="1:4" x14ac:dyDescent="0.3">
      <c r="A474" s="1">
        <v>42601</v>
      </c>
      <c r="C474">
        <v>50.88</v>
      </c>
      <c r="D474" s="1">
        <f t="shared" si="7"/>
        <v>42613</v>
      </c>
    </row>
    <row r="475" spans="1:4" x14ac:dyDescent="0.3">
      <c r="A475" s="1">
        <v>42608</v>
      </c>
      <c r="C475">
        <v>49.92</v>
      </c>
      <c r="D475" s="1">
        <f t="shared" si="7"/>
        <v>42613</v>
      </c>
    </row>
    <row r="476" spans="1:4" x14ac:dyDescent="0.3">
      <c r="A476" s="1">
        <v>42615</v>
      </c>
      <c r="C476">
        <v>46.83</v>
      </c>
      <c r="D476" s="1">
        <f t="shared" si="7"/>
        <v>42643</v>
      </c>
    </row>
    <row r="477" spans="1:4" x14ac:dyDescent="0.3">
      <c r="A477" s="1">
        <v>42622</v>
      </c>
      <c r="C477">
        <v>48.01</v>
      </c>
      <c r="D477" s="1">
        <f t="shared" si="7"/>
        <v>42643</v>
      </c>
    </row>
    <row r="478" spans="1:4" x14ac:dyDescent="0.3">
      <c r="A478" s="1">
        <v>42629</v>
      </c>
      <c r="C478">
        <v>45.77</v>
      </c>
      <c r="D478" s="1">
        <f t="shared" si="7"/>
        <v>42643</v>
      </c>
    </row>
    <row r="479" spans="1:4" x14ac:dyDescent="0.3">
      <c r="A479" s="1">
        <v>42636</v>
      </c>
      <c r="C479">
        <v>45.89</v>
      </c>
      <c r="D479" s="1">
        <f t="shared" si="7"/>
        <v>42643</v>
      </c>
    </row>
    <row r="480" spans="1:4" x14ac:dyDescent="0.3">
      <c r="A480" s="1">
        <v>42643</v>
      </c>
      <c r="C480">
        <v>49.06</v>
      </c>
      <c r="D480" s="1">
        <f t="shared" si="7"/>
        <v>42643</v>
      </c>
    </row>
    <row r="481" spans="1:4" x14ac:dyDescent="0.3">
      <c r="A481" s="1">
        <v>42650</v>
      </c>
      <c r="C481">
        <v>51.93</v>
      </c>
      <c r="D481" s="1">
        <f t="shared" si="7"/>
        <v>42674</v>
      </c>
    </row>
    <row r="482" spans="1:4" x14ac:dyDescent="0.3">
      <c r="A482" s="1">
        <v>42657</v>
      </c>
      <c r="C482">
        <v>51.95</v>
      </c>
      <c r="D482" s="1">
        <f t="shared" si="7"/>
        <v>42674</v>
      </c>
    </row>
    <row r="483" spans="1:4" x14ac:dyDescent="0.3">
      <c r="A483" s="1">
        <v>42664</v>
      </c>
      <c r="C483">
        <v>51.78</v>
      </c>
      <c r="D483" s="1">
        <f t="shared" si="7"/>
        <v>42674</v>
      </c>
    </row>
    <row r="484" spans="1:4" x14ac:dyDescent="0.3">
      <c r="A484" s="1">
        <v>42671</v>
      </c>
      <c r="C484">
        <v>49.71</v>
      </c>
      <c r="D484" s="1">
        <f t="shared" si="7"/>
        <v>42674</v>
      </c>
    </row>
    <row r="485" spans="1:4" x14ac:dyDescent="0.3">
      <c r="A485" s="1">
        <v>42678</v>
      </c>
      <c r="C485">
        <v>45.58</v>
      </c>
      <c r="D485" s="1">
        <f t="shared" si="7"/>
        <v>42704</v>
      </c>
    </row>
    <row r="486" spans="1:4" x14ac:dyDescent="0.3">
      <c r="A486" s="1">
        <v>42685</v>
      </c>
      <c r="C486">
        <v>44.75</v>
      </c>
      <c r="D486" s="1">
        <f t="shared" si="7"/>
        <v>42704</v>
      </c>
    </row>
    <row r="487" spans="1:4" x14ac:dyDescent="0.3">
      <c r="A487" s="1">
        <v>42692</v>
      </c>
      <c r="C487">
        <v>46.86</v>
      </c>
      <c r="D487" s="1">
        <f t="shared" si="7"/>
        <v>42704</v>
      </c>
    </row>
    <row r="488" spans="1:4" x14ac:dyDescent="0.3">
      <c r="A488" s="1">
        <v>42699</v>
      </c>
      <c r="C488">
        <v>47.24</v>
      </c>
      <c r="D488" s="1">
        <f t="shared" si="7"/>
        <v>42704</v>
      </c>
    </row>
    <row r="489" spans="1:4" x14ac:dyDescent="0.3">
      <c r="A489" s="1">
        <v>42706</v>
      </c>
      <c r="C489">
        <v>54.46</v>
      </c>
      <c r="D489" s="1">
        <f t="shared" si="7"/>
        <v>42735</v>
      </c>
    </row>
    <row r="490" spans="1:4" x14ac:dyDescent="0.3">
      <c r="A490" s="1">
        <v>42713</v>
      </c>
      <c r="C490">
        <v>54.33</v>
      </c>
      <c r="D490" s="1">
        <f t="shared" si="7"/>
        <v>42735</v>
      </c>
    </row>
    <row r="491" spans="1:4" x14ac:dyDescent="0.3">
      <c r="A491" s="1">
        <v>42720</v>
      </c>
      <c r="C491">
        <v>55.21</v>
      </c>
      <c r="D491" s="1">
        <f t="shared" si="7"/>
        <v>42735</v>
      </c>
    </row>
    <row r="492" spans="1:4" x14ac:dyDescent="0.3">
      <c r="A492" s="1">
        <v>42727</v>
      </c>
      <c r="C492">
        <v>55.16</v>
      </c>
      <c r="D492" s="1">
        <f t="shared" si="7"/>
        <v>42735</v>
      </c>
    </row>
    <row r="493" spans="1:4" x14ac:dyDescent="0.3">
      <c r="A493" s="1">
        <v>42734</v>
      </c>
      <c r="C493">
        <v>56.82</v>
      </c>
      <c r="D493" s="1">
        <f t="shared" si="7"/>
        <v>42735</v>
      </c>
    </row>
    <row r="494" spans="1:4" x14ac:dyDescent="0.3">
      <c r="A494" s="1">
        <v>42741</v>
      </c>
      <c r="C494">
        <v>57.1</v>
      </c>
      <c r="D494" s="1">
        <f t="shared" si="7"/>
        <v>42766</v>
      </c>
    </row>
    <row r="495" spans="1:4" x14ac:dyDescent="0.3">
      <c r="A495" s="1">
        <v>42748</v>
      </c>
      <c r="C495">
        <v>55.45</v>
      </c>
      <c r="D495" s="1">
        <f t="shared" si="7"/>
        <v>42766</v>
      </c>
    </row>
    <row r="496" spans="1:4" x14ac:dyDescent="0.3">
      <c r="A496" s="1">
        <v>42755</v>
      </c>
      <c r="C496">
        <v>55.49</v>
      </c>
      <c r="D496" s="1">
        <f t="shared" si="7"/>
        <v>42766</v>
      </c>
    </row>
    <row r="497" spans="1:4" x14ac:dyDescent="0.3">
      <c r="A497" s="1">
        <v>42762</v>
      </c>
      <c r="C497">
        <v>55.52</v>
      </c>
      <c r="D497" s="1">
        <f t="shared" si="7"/>
        <v>42766</v>
      </c>
    </row>
    <row r="498" spans="1:4" x14ac:dyDescent="0.3">
      <c r="A498" s="1">
        <v>42769</v>
      </c>
      <c r="C498">
        <v>56.81</v>
      </c>
      <c r="D498" s="1">
        <f t="shared" si="7"/>
        <v>42794</v>
      </c>
    </row>
    <row r="499" spans="1:4" x14ac:dyDescent="0.3">
      <c r="A499" s="1">
        <v>42776</v>
      </c>
      <c r="C499">
        <v>56.7</v>
      </c>
      <c r="D499" s="1">
        <f t="shared" si="7"/>
        <v>42794</v>
      </c>
    </row>
    <row r="500" spans="1:4" x14ac:dyDescent="0.3">
      <c r="A500" s="1">
        <v>42783</v>
      </c>
      <c r="C500">
        <v>55.81</v>
      </c>
      <c r="D500" s="1">
        <f t="shared" si="7"/>
        <v>42794</v>
      </c>
    </row>
    <row r="501" spans="1:4" x14ac:dyDescent="0.3">
      <c r="A501" s="1">
        <v>42790</v>
      </c>
      <c r="C501">
        <v>55.99</v>
      </c>
      <c r="D501" s="1">
        <f t="shared" si="7"/>
        <v>42794</v>
      </c>
    </row>
    <row r="502" spans="1:4" x14ac:dyDescent="0.3">
      <c r="A502" s="1">
        <v>42797</v>
      </c>
      <c r="C502">
        <v>55.9</v>
      </c>
      <c r="D502" s="1">
        <f t="shared" si="7"/>
        <v>42825</v>
      </c>
    </row>
    <row r="503" spans="1:4" x14ac:dyDescent="0.3">
      <c r="A503" s="1">
        <v>42804</v>
      </c>
      <c r="C503">
        <v>51.37</v>
      </c>
      <c r="D503" s="1">
        <f t="shared" si="7"/>
        <v>42825</v>
      </c>
    </row>
    <row r="504" spans="1:4" x14ac:dyDescent="0.3">
      <c r="A504" s="1">
        <v>42811</v>
      </c>
      <c r="C504">
        <v>51.76</v>
      </c>
      <c r="D504" s="1">
        <f t="shared" si="7"/>
        <v>42825</v>
      </c>
    </row>
    <row r="505" spans="1:4" x14ac:dyDescent="0.3">
      <c r="A505" s="1">
        <v>42818</v>
      </c>
      <c r="C505">
        <v>50.8</v>
      </c>
      <c r="D505" s="1">
        <f t="shared" si="7"/>
        <v>42825</v>
      </c>
    </row>
    <row r="506" spans="1:4" x14ac:dyDescent="0.3">
      <c r="A506" s="1">
        <v>42825</v>
      </c>
      <c r="C506">
        <v>52.83</v>
      </c>
      <c r="D506" s="1">
        <f t="shared" si="7"/>
        <v>42825</v>
      </c>
    </row>
    <row r="507" spans="1:4" x14ac:dyDescent="0.3">
      <c r="A507" s="1">
        <v>42832</v>
      </c>
      <c r="C507">
        <v>55.24</v>
      </c>
      <c r="D507" s="1">
        <f t="shared" si="7"/>
        <v>42855</v>
      </c>
    </row>
    <row r="508" spans="1:4" x14ac:dyDescent="0.3">
      <c r="A508" s="1">
        <v>42839</v>
      </c>
      <c r="C508">
        <v>55.89</v>
      </c>
      <c r="D508" s="1">
        <f t="shared" si="7"/>
        <v>42855</v>
      </c>
    </row>
    <row r="509" spans="1:4" x14ac:dyDescent="0.3">
      <c r="A509" s="1">
        <v>42846</v>
      </c>
      <c r="C509">
        <v>51.96</v>
      </c>
      <c r="D509" s="1">
        <f t="shared" si="7"/>
        <v>42855</v>
      </c>
    </row>
    <row r="510" spans="1:4" x14ac:dyDescent="0.3">
      <c r="A510" s="1">
        <v>42853</v>
      </c>
      <c r="C510">
        <v>51.73</v>
      </c>
      <c r="D510" s="1">
        <f t="shared" si="7"/>
        <v>42855</v>
      </c>
    </row>
    <row r="511" spans="1:4" x14ac:dyDescent="0.3">
      <c r="A511" s="1">
        <v>42860</v>
      </c>
      <c r="C511">
        <v>49.1</v>
      </c>
      <c r="D511" s="1">
        <f t="shared" si="7"/>
        <v>42886</v>
      </c>
    </row>
    <row r="512" spans="1:4" x14ac:dyDescent="0.3">
      <c r="A512" s="1">
        <v>42867</v>
      </c>
      <c r="C512">
        <v>50.84</v>
      </c>
      <c r="D512" s="1">
        <f t="shared" si="7"/>
        <v>42886</v>
      </c>
    </row>
    <row r="513" spans="1:4" x14ac:dyDescent="0.3">
      <c r="A513" s="1">
        <v>42874</v>
      </c>
      <c r="C513">
        <v>53.61</v>
      </c>
      <c r="D513" s="1">
        <f t="shared" si="7"/>
        <v>42886</v>
      </c>
    </row>
    <row r="514" spans="1:4" x14ac:dyDescent="0.3">
      <c r="A514" s="1">
        <v>42881</v>
      </c>
      <c r="C514">
        <v>52.15</v>
      </c>
      <c r="D514" s="1">
        <f t="shared" si="7"/>
        <v>42886</v>
      </c>
    </row>
    <row r="515" spans="1:4" x14ac:dyDescent="0.3">
      <c r="A515" s="1">
        <v>42888</v>
      </c>
      <c r="C515">
        <v>49.95</v>
      </c>
      <c r="D515" s="1">
        <f t="shared" ref="D515:D578" si="8">EOMONTH(A515,0)</f>
        <v>42916</v>
      </c>
    </row>
    <row r="516" spans="1:4" x14ac:dyDescent="0.3">
      <c r="A516" s="1">
        <v>42895</v>
      </c>
      <c r="C516">
        <v>48.15</v>
      </c>
      <c r="D516" s="1">
        <f t="shared" si="8"/>
        <v>42916</v>
      </c>
    </row>
    <row r="517" spans="1:4" x14ac:dyDescent="0.3">
      <c r="A517" s="1">
        <v>42902</v>
      </c>
      <c r="C517">
        <v>47.37</v>
      </c>
      <c r="D517" s="1">
        <f t="shared" si="8"/>
        <v>42916</v>
      </c>
    </row>
    <row r="518" spans="1:4" x14ac:dyDescent="0.3">
      <c r="A518" s="1">
        <v>42909</v>
      </c>
      <c r="C518">
        <v>45.54</v>
      </c>
      <c r="D518" s="1">
        <f t="shared" si="8"/>
        <v>42916</v>
      </c>
    </row>
    <row r="519" spans="1:4" x14ac:dyDescent="0.3">
      <c r="A519" s="1">
        <v>42916</v>
      </c>
      <c r="C519">
        <v>47.92</v>
      </c>
      <c r="D519" s="1">
        <f t="shared" si="8"/>
        <v>42916</v>
      </c>
    </row>
    <row r="520" spans="1:4" x14ac:dyDescent="0.3">
      <c r="A520" s="1">
        <v>42923</v>
      </c>
      <c r="C520">
        <v>46.71</v>
      </c>
      <c r="D520" s="1">
        <f t="shared" si="8"/>
        <v>42947</v>
      </c>
    </row>
    <row r="521" spans="1:4" x14ac:dyDescent="0.3">
      <c r="A521" s="1">
        <v>42930</v>
      </c>
      <c r="C521">
        <v>48.91</v>
      </c>
      <c r="D521" s="1">
        <f t="shared" si="8"/>
        <v>42947</v>
      </c>
    </row>
    <row r="522" spans="1:4" x14ac:dyDescent="0.3">
      <c r="A522" s="1">
        <v>42937</v>
      </c>
      <c r="C522">
        <v>48.06</v>
      </c>
      <c r="D522" s="1">
        <f t="shared" si="8"/>
        <v>42947</v>
      </c>
    </row>
    <row r="523" spans="1:4" x14ac:dyDescent="0.3">
      <c r="A523" s="1">
        <v>42944</v>
      </c>
      <c r="C523">
        <v>52.52</v>
      </c>
      <c r="D523" s="1">
        <f t="shared" si="8"/>
        <v>42947</v>
      </c>
    </row>
    <row r="524" spans="1:4" x14ac:dyDescent="0.3">
      <c r="A524" s="1">
        <v>42951</v>
      </c>
      <c r="C524">
        <v>52.42</v>
      </c>
      <c r="D524" s="1">
        <f t="shared" si="8"/>
        <v>42978</v>
      </c>
    </row>
    <row r="525" spans="1:4" x14ac:dyDescent="0.3">
      <c r="A525" s="1">
        <v>42958</v>
      </c>
      <c r="C525">
        <v>52.1</v>
      </c>
      <c r="D525" s="1">
        <f t="shared" si="8"/>
        <v>42978</v>
      </c>
    </row>
    <row r="526" spans="1:4" x14ac:dyDescent="0.3">
      <c r="A526" s="1">
        <v>42965</v>
      </c>
      <c r="C526">
        <v>52.72</v>
      </c>
      <c r="D526" s="1">
        <f t="shared" si="8"/>
        <v>42978</v>
      </c>
    </row>
    <row r="527" spans="1:4" x14ac:dyDescent="0.3">
      <c r="A527" s="1">
        <v>42972</v>
      </c>
      <c r="C527">
        <v>52.41</v>
      </c>
      <c r="D527" s="1">
        <f t="shared" si="8"/>
        <v>42978</v>
      </c>
    </row>
    <row r="528" spans="1:4" x14ac:dyDescent="0.3">
      <c r="A528" s="1">
        <v>42979</v>
      </c>
      <c r="C528">
        <v>52.75</v>
      </c>
      <c r="D528" s="1">
        <f t="shared" si="8"/>
        <v>43008</v>
      </c>
    </row>
    <row r="529" spans="1:4" x14ac:dyDescent="0.3">
      <c r="A529" s="1">
        <v>42986</v>
      </c>
      <c r="C529">
        <v>53.78</v>
      </c>
      <c r="D529" s="1">
        <f t="shared" si="8"/>
        <v>43008</v>
      </c>
    </row>
    <row r="530" spans="1:4" x14ac:dyDescent="0.3">
      <c r="A530" s="1">
        <v>42993</v>
      </c>
      <c r="C530">
        <v>55.62</v>
      </c>
      <c r="D530" s="1">
        <f t="shared" si="8"/>
        <v>43008</v>
      </c>
    </row>
    <row r="531" spans="1:4" x14ac:dyDescent="0.3">
      <c r="A531" s="1">
        <v>43000</v>
      </c>
      <c r="C531">
        <v>56.86</v>
      </c>
      <c r="D531" s="1">
        <f t="shared" si="8"/>
        <v>43008</v>
      </c>
    </row>
    <row r="532" spans="1:4" x14ac:dyDescent="0.3">
      <c r="A532" s="1">
        <v>43007</v>
      </c>
      <c r="C532">
        <v>57.41</v>
      </c>
      <c r="D532" s="1">
        <f t="shared" si="8"/>
        <v>43008</v>
      </c>
    </row>
    <row r="533" spans="1:4" x14ac:dyDescent="0.3">
      <c r="A533" s="1">
        <v>43014</v>
      </c>
      <c r="C533">
        <v>55.62</v>
      </c>
      <c r="D533" s="1">
        <f t="shared" si="8"/>
        <v>43039</v>
      </c>
    </row>
    <row r="534" spans="1:4" x14ac:dyDescent="0.3">
      <c r="A534" s="1">
        <v>43021</v>
      </c>
      <c r="C534">
        <v>57.17</v>
      </c>
      <c r="D534" s="1">
        <f t="shared" si="8"/>
        <v>43039</v>
      </c>
    </row>
    <row r="535" spans="1:4" x14ac:dyDescent="0.3">
      <c r="A535" s="1">
        <v>43028</v>
      </c>
      <c r="C535">
        <v>57.75</v>
      </c>
      <c r="D535" s="1">
        <f t="shared" si="8"/>
        <v>43039</v>
      </c>
    </row>
    <row r="536" spans="1:4" x14ac:dyDescent="0.3">
      <c r="A536" s="1">
        <v>43035</v>
      </c>
      <c r="C536">
        <v>60.44</v>
      </c>
      <c r="D536" s="1">
        <f t="shared" si="8"/>
        <v>43039</v>
      </c>
    </row>
    <row r="537" spans="1:4" x14ac:dyDescent="0.3">
      <c r="A537" s="1">
        <v>43042</v>
      </c>
      <c r="C537">
        <v>62.07</v>
      </c>
      <c r="D537" s="1">
        <f t="shared" si="8"/>
        <v>43069</v>
      </c>
    </row>
    <row r="538" spans="1:4" x14ac:dyDescent="0.3">
      <c r="A538" s="1">
        <v>43049</v>
      </c>
      <c r="C538">
        <v>63.52</v>
      </c>
      <c r="D538" s="1">
        <f t="shared" si="8"/>
        <v>43069</v>
      </c>
    </row>
    <row r="539" spans="1:4" x14ac:dyDescent="0.3">
      <c r="A539" s="1">
        <v>43056</v>
      </c>
      <c r="C539">
        <v>62.72</v>
      </c>
      <c r="D539" s="1">
        <f t="shared" si="8"/>
        <v>43069</v>
      </c>
    </row>
    <row r="540" spans="1:4" x14ac:dyDescent="0.3">
      <c r="A540" s="1">
        <v>43063</v>
      </c>
      <c r="C540">
        <v>63.86</v>
      </c>
      <c r="D540" s="1">
        <f t="shared" si="8"/>
        <v>43069</v>
      </c>
    </row>
    <row r="541" spans="1:4" x14ac:dyDescent="0.3">
      <c r="A541" s="1">
        <v>43070</v>
      </c>
      <c r="C541">
        <v>63.73</v>
      </c>
      <c r="D541" s="1">
        <f t="shared" si="8"/>
        <v>43100</v>
      </c>
    </row>
    <row r="542" spans="1:4" x14ac:dyDescent="0.3">
      <c r="A542" s="1">
        <v>43077</v>
      </c>
      <c r="C542">
        <v>63.4</v>
      </c>
      <c r="D542" s="1">
        <f t="shared" si="8"/>
        <v>43100</v>
      </c>
    </row>
    <row r="543" spans="1:4" x14ac:dyDescent="0.3">
      <c r="A543" s="1">
        <v>43084</v>
      </c>
      <c r="C543">
        <v>63.23</v>
      </c>
      <c r="D543" s="1">
        <f t="shared" si="8"/>
        <v>43100</v>
      </c>
    </row>
    <row r="544" spans="1:4" x14ac:dyDescent="0.3">
      <c r="A544" s="1">
        <v>43091</v>
      </c>
      <c r="C544">
        <v>65.25</v>
      </c>
      <c r="D544" s="1">
        <f t="shared" si="8"/>
        <v>43100</v>
      </c>
    </row>
    <row r="545" spans="1:4" x14ac:dyDescent="0.3">
      <c r="A545" s="1">
        <v>43098</v>
      </c>
      <c r="C545">
        <v>66.87</v>
      </c>
      <c r="D545" s="1">
        <f t="shared" si="8"/>
        <v>43100</v>
      </c>
    </row>
    <row r="546" spans="1:4" x14ac:dyDescent="0.3">
      <c r="A546" s="1">
        <v>43105</v>
      </c>
      <c r="C546">
        <v>67.62</v>
      </c>
      <c r="D546" s="1">
        <f t="shared" si="8"/>
        <v>43131</v>
      </c>
    </row>
    <row r="547" spans="1:4" x14ac:dyDescent="0.3">
      <c r="A547" s="1">
        <v>43112</v>
      </c>
      <c r="C547">
        <v>69.87</v>
      </c>
      <c r="D547" s="1">
        <f t="shared" si="8"/>
        <v>43131</v>
      </c>
    </row>
    <row r="548" spans="1:4" x14ac:dyDescent="0.3">
      <c r="A548" s="1">
        <v>43119</v>
      </c>
      <c r="C548">
        <v>68.61</v>
      </c>
      <c r="D548" s="1">
        <f t="shared" si="8"/>
        <v>43131</v>
      </c>
    </row>
    <row r="549" spans="1:4" x14ac:dyDescent="0.3">
      <c r="A549" s="1">
        <v>43126</v>
      </c>
      <c r="C549">
        <v>70.52</v>
      </c>
      <c r="D549" s="1">
        <f t="shared" si="8"/>
        <v>43131</v>
      </c>
    </row>
    <row r="550" spans="1:4" x14ac:dyDescent="0.3">
      <c r="A550" s="1">
        <v>43133</v>
      </c>
      <c r="C550">
        <v>68.58</v>
      </c>
      <c r="D550" s="1">
        <f t="shared" si="8"/>
        <v>43159</v>
      </c>
    </row>
    <row r="551" spans="1:4" x14ac:dyDescent="0.3">
      <c r="A551" s="1">
        <v>43140</v>
      </c>
      <c r="C551">
        <v>62.79</v>
      </c>
      <c r="D551" s="1">
        <f t="shared" si="8"/>
        <v>43159</v>
      </c>
    </row>
    <row r="552" spans="1:4" x14ac:dyDescent="0.3">
      <c r="A552" s="1">
        <v>43147</v>
      </c>
      <c r="C552">
        <v>64.84</v>
      </c>
      <c r="D552" s="1">
        <f t="shared" si="8"/>
        <v>43159</v>
      </c>
    </row>
    <row r="553" spans="1:4" x14ac:dyDescent="0.3">
      <c r="A553" s="1">
        <v>43154</v>
      </c>
      <c r="C553">
        <v>67.31</v>
      </c>
      <c r="D553" s="1">
        <f t="shared" si="8"/>
        <v>43159</v>
      </c>
    </row>
    <row r="554" spans="1:4" x14ac:dyDescent="0.3">
      <c r="A554" s="1">
        <v>43161</v>
      </c>
      <c r="C554">
        <v>64.37</v>
      </c>
      <c r="D554" s="1">
        <f t="shared" si="8"/>
        <v>43190</v>
      </c>
    </row>
    <row r="555" spans="1:4" x14ac:dyDescent="0.3">
      <c r="A555" s="1">
        <v>43168</v>
      </c>
      <c r="C555">
        <v>65.489999999999995</v>
      </c>
      <c r="D555" s="1">
        <f t="shared" si="8"/>
        <v>43190</v>
      </c>
    </row>
    <row r="556" spans="1:4" x14ac:dyDescent="0.3">
      <c r="A556" s="1">
        <v>43175</v>
      </c>
      <c r="C556">
        <v>66.209999999999994</v>
      </c>
      <c r="D556" s="1">
        <f t="shared" si="8"/>
        <v>43190</v>
      </c>
    </row>
    <row r="557" spans="1:4" x14ac:dyDescent="0.3">
      <c r="A557" s="1">
        <v>43182</v>
      </c>
      <c r="C557">
        <v>70.45</v>
      </c>
      <c r="D557" s="1">
        <f t="shared" si="8"/>
        <v>43190</v>
      </c>
    </row>
    <row r="558" spans="1:4" x14ac:dyDescent="0.3">
      <c r="A558" s="1">
        <v>43189</v>
      </c>
      <c r="C558">
        <v>70.27</v>
      </c>
      <c r="D558" s="1">
        <f t="shared" si="8"/>
        <v>43190</v>
      </c>
    </row>
    <row r="559" spans="1:4" x14ac:dyDescent="0.3">
      <c r="A559" s="1">
        <v>43196</v>
      </c>
      <c r="C559">
        <v>67.11</v>
      </c>
      <c r="D559" s="1">
        <f t="shared" si="8"/>
        <v>43220</v>
      </c>
    </row>
    <row r="560" spans="1:4" x14ac:dyDescent="0.3">
      <c r="A560" s="1">
        <v>43203</v>
      </c>
      <c r="C560">
        <v>72.58</v>
      </c>
      <c r="D560" s="1">
        <f t="shared" si="8"/>
        <v>43220</v>
      </c>
    </row>
    <row r="561" spans="1:4" x14ac:dyDescent="0.3">
      <c r="A561" s="1">
        <v>43210</v>
      </c>
      <c r="C561">
        <v>74.06</v>
      </c>
      <c r="D561" s="1">
        <f t="shared" si="8"/>
        <v>43220</v>
      </c>
    </row>
    <row r="562" spans="1:4" x14ac:dyDescent="0.3">
      <c r="A562" s="1">
        <v>43217</v>
      </c>
      <c r="C562">
        <v>74.64</v>
      </c>
      <c r="D562" s="1">
        <f t="shared" si="8"/>
        <v>43220</v>
      </c>
    </row>
    <row r="563" spans="1:4" x14ac:dyDescent="0.3">
      <c r="A563" s="1">
        <v>43224</v>
      </c>
      <c r="C563">
        <v>74.87</v>
      </c>
      <c r="D563" s="1">
        <f t="shared" si="8"/>
        <v>43251</v>
      </c>
    </row>
    <row r="564" spans="1:4" x14ac:dyDescent="0.3">
      <c r="A564" s="1">
        <v>43231</v>
      </c>
      <c r="C564">
        <v>77.12</v>
      </c>
      <c r="D564" s="1">
        <f t="shared" si="8"/>
        <v>43251</v>
      </c>
    </row>
    <row r="565" spans="1:4" x14ac:dyDescent="0.3">
      <c r="A565" s="1">
        <v>43238</v>
      </c>
      <c r="C565">
        <v>78.510000000000005</v>
      </c>
      <c r="D565" s="1">
        <f t="shared" si="8"/>
        <v>43251</v>
      </c>
    </row>
    <row r="566" spans="1:4" x14ac:dyDescent="0.3">
      <c r="A566" s="1">
        <v>43245</v>
      </c>
      <c r="C566">
        <v>76.44</v>
      </c>
      <c r="D566" s="1">
        <f t="shared" si="8"/>
        <v>43251</v>
      </c>
    </row>
    <row r="567" spans="1:4" x14ac:dyDescent="0.3">
      <c r="A567" s="1">
        <v>43252</v>
      </c>
      <c r="C567">
        <v>76.790000000000006</v>
      </c>
      <c r="D567" s="1">
        <f t="shared" si="8"/>
        <v>43281</v>
      </c>
    </row>
    <row r="568" spans="1:4" x14ac:dyDescent="0.3">
      <c r="A568" s="1">
        <v>43259</v>
      </c>
      <c r="C568">
        <v>76.459999999999994</v>
      </c>
      <c r="D568" s="1">
        <f t="shared" si="8"/>
        <v>43281</v>
      </c>
    </row>
    <row r="569" spans="1:4" x14ac:dyDescent="0.3">
      <c r="A569" s="1">
        <v>43266</v>
      </c>
      <c r="C569">
        <v>73.44</v>
      </c>
      <c r="D569" s="1">
        <f t="shared" si="8"/>
        <v>43281</v>
      </c>
    </row>
    <row r="570" spans="1:4" x14ac:dyDescent="0.3">
      <c r="A570" s="1">
        <v>43273</v>
      </c>
      <c r="C570">
        <v>75.55</v>
      </c>
      <c r="D570" s="1">
        <f t="shared" si="8"/>
        <v>43281</v>
      </c>
    </row>
    <row r="571" spans="1:4" x14ac:dyDescent="0.3">
      <c r="A571" s="1">
        <v>43280</v>
      </c>
      <c r="C571">
        <v>79.44</v>
      </c>
      <c r="D571" s="1">
        <f t="shared" si="8"/>
        <v>43281</v>
      </c>
    </row>
    <row r="572" spans="1:4" x14ac:dyDescent="0.3">
      <c r="A572" s="1">
        <v>43287</v>
      </c>
      <c r="B572">
        <v>542.59</v>
      </c>
      <c r="C572">
        <v>77.11</v>
      </c>
      <c r="D572" s="1">
        <f t="shared" si="8"/>
        <v>43312</v>
      </c>
    </row>
    <row r="573" spans="1:4" x14ac:dyDescent="0.3">
      <c r="A573" s="1">
        <v>43294</v>
      </c>
      <c r="B573">
        <v>535.28</v>
      </c>
      <c r="C573">
        <v>75.33</v>
      </c>
      <c r="D573" s="1">
        <f t="shared" si="8"/>
        <v>43312</v>
      </c>
    </row>
    <row r="574" spans="1:4" x14ac:dyDescent="0.3">
      <c r="A574" s="1">
        <v>43301</v>
      </c>
      <c r="B574">
        <v>525.21</v>
      </c>
      <c r="C574">
        <v>73.069999999999993</v>
      </c>
      <c r="D574" s="1">
        <f t="shared" si="8"/>
        <v>43312</v>
      </c>
    </row>
    <row r="575" spans="1:4" x14ac:dyDescent="0.3">
      <c r="A575" s="1">
        <v>43308</v>
      </c>
      <c r="B575">
        <v>542.54999999999995</v>
      </c>
      <c r="C575">
        <v>74.290000000000006</v>
      </c>
      <c r="D575" s="1">
        <f t="shared" si="8"/>
        <v>43312</v>
      </c>
    </row>
    <row r="576" spans="1:4" x14ac:dyDescent="0.3">
      <c r="A576" s="1">
        <v>43315</v>
      </c>
      <c r="B576">
        <v>529.51</v>
      </c>
      <c r="C576">
        <v>73.209999999999994</v>
      </c>
      <c r="D576" s="1">
        <f t="shared" si="8"/>
        <v>43343</v>
      </c>
    </row>
    <row r="577" spans="1:4" x14ac:dyDescent="0.3">
      <c r="A577" s="1">
        <v>43322</v>
      </c>
      <c r="B577">
        <v>529.62</v>
      </c>
      <c r="C577">
        <v>72.81</v>
      </c>
      <c r="D577" s="1">
        <f t="shared" si="8"/>
        <v>43343</v>
      </c>
    </row>
    <row r="578" spans="1:4" x14ac:dyDescent="0.3">
      <c r="A578" s="1">
        <v>43329</v>
      </c>
      <c r="B578">
        <v>517.24</v>
      </c>
      <c r="C578">
        <v>71.83</v>
      </c>
      <c r="D578" s="1">
        <f t="shared" si="8"/>
        <v>43343</v>
      </c>
    </row>
    <row r="579" spans="1:4" x14ac:dyDescent="0.3">
      <c r="A579" s="1">
        <v>43336</v>
      </c>
      <c r="B579">
        <v>543.48</v>
      </c>
      <c r="C579">
        <v>75.819999999999993</v>
      </c>
      <c r="D579" s="1">
        <f t="shared" ref="D579:D642" si="9">EOMONTH(A579,0)</f>
        <v>43343</v>
      </c>
    </row>
    <row r="580" spans="1:4" x14ac:dyDescent="0.3">
      <c r="A580" s="1">
        <v>43343</v>
      </c>
      <c r="B580">
        <v>553.30999999999995</v>
      </c>
      <c r="C580">
        <v>77.42</v>
      </c>
      <c r="D580" s="1">
        <f t="shared" si="9"/>
        <v>43343</v>
      </c>
    </row>
    <row r="581" spans="1:4" x14ac:dyDescent="0.3">
      <c r="A581" s="1">
        <v>43350</v>
      </c>
      <c r="B581">
        <v>540.83000000000004</v>
      </c>
      <c r="C581">
        <v>76.83</v>
      </c>
      <c r="D581" s="1">
        <f t="shared" si="9"/>
        <v>43373</v>
      </c>
    </row>
    <row r="582" spans="1:4" x14ac:dyDescent="0.3">
      <c r="A582" s="1">
        <v>43357</v>
      </c>
      <c r="B582">
        <v>544.82000000000005</v>
      </c>
      <c r="C582">
        <v>78.09</v>
      </c>
      <c r="D582" s="1">
        <f t="shared" si="9"/>
        <v>43373</v>
      </c>
    </row>
    <row r="583" spans="1:4" x14ac:dyDescent="0.3">
      <c r="A583" s="1">
        <v>43364</v>
      </c>
      <c r="B583">
        <v>553.76</v>
      </c>
      <c r="C583">
        <v>78.8</v>
      </c>
      <c r="D583" s="1">
        <f t="shared" si="9"/>
        <v>43373</v>
      </c>
    </row>
    <row r="584" spans="1:4" x14ac:dyDescent="0.3">
      <c r="A584" s="1">
        <v>43371</v>
      </c>
      <c r="B584">
        <v>586.13</v>
      </c>
      <c r="C584">
        <v>82.72</v>
      </c>
      <c r="D584" s="1">
        <f t="shared" si="9"/>
        <v>43373</v>
      </c>
    </row>
    <row r="585" spans="1:4" x14ac:dyDescent="0.3">
      <c r="A585" s="1">
        <v>43378</v>
      </c>
      <c r="B585">
        <v>600.97</v>
      </c>
      <c r="C585">
        <v>84.16</v>
      </c>
      <c r="D585" s="1">
        <f t="shared" si="9"/>
        <v>43404</v>
      </c>
    </row>
    <row r="586" spans="1:4" x14ac:dyDescent="0.3">
      <c r="A586" s="1">
        <v>43385</v>
      </c>
      <c r="B586">
        <v>580.78</v>
      </c>
      <c r="C586">
        <v>80.430000000000007</v>
      </c>
      <c r="D586" s="1">
        <f t="shared" si="9"/>
        <v>43404</v>
      </c>
    </row>
    <row r="587" spans="1:4" x14ac:dyDescent="0.3">
      <c r="A587" s="1">
        <v>43392</v>
      </c>
      <c r="B587">
        <v>580.66</v>
      </c>
      <c r="C587">
        <v>79.78</v>
      </c>
      <c r="D587" s="1">
        <f t="shared" si="9"/>
        <v>43404</v>
      </c>
    </row>
    <row r="588" spans="1:4" x14ac:dyDescent="0.3">
      <c r="A588" s="1">
        <v>43399</v>
      </c>
      <c r="B588">
        <v>576.24</v>
      </c>
      <c r="C588">
        <v>77.62</v>
      </c>
      <c r="D588" s="1">
        <f t="shared" si="9"/>
        <v>43404</v>
      </c>
    </row>
    <row r="589" spans="1:4" x14ac:dyDescent="0.3">
      <c r="A589" s="1">
        <v>43406</v>
      </c>
      <c r="B589">
        <v>539.77</v>
      </c>
      <c r="C589">
        <v>72.83</v>
      </c>
      <c r="D589" s="1">
        <f t="shared" si="9"/>
        <v>43434</v>
      </c>
    </row>
    <row r="590" spans="1:4" x14ac:dyDescent="0.3">
      <c r="A590" s="1">
        <v>43413</v>
      </c>
      <c r="B590">
        <v>527.1</v>
      </c>
      <c r="C590">
        <v>70.180000000000007</v>
      </c>
      <c r="D590" s="1">
        <f t="shared" si="9"/>
        <v>43434</v>
      </c>
    </row>
    <row r="591" spans="1:4" x14ac:dyDescent="0.3">
      <c r="A591" s="1">
        <v>43420</v>
      </c>
      <c r="B591">
        <v>508.73</v>
      </c>
      <c r="C591">
        <v>66.760000000000005</v>
      </c>
      <c r="D591" s="1">
        <f t="shared" si="9"/>
        <v>43434</v>
      </c>
    </row>
    <row r="592" spans="1:4" x14ac:dyDescent="0.3">
      <c r="A592" s="1">
        <v>43427</v>
      </c>
      <c r="B592">
        <v>464.81</v>
      </c>
      <c r="C592">
        <v>58.8</v>
      </c>
      <c r="D592" s="1">
        <f t="shared" si="9"/>
        <v>43434</v>
      </c>
    </row>
    <row r="593" spans="1:4" x14ac:dyDescent="0.3">
      <c r="A593" s="1">
        <v>43434</v>
      </c>
      <c r="B593">
        <v>445.21</v>
      </c>
      <c r="C593">
        <v>58.71</v>
      </c>
      <c r="D593" s="1">
        <f t="shared" si="9"/>
        <v>43434</v>
      </c>
    </row>
    <row r="594" spans="1:4" x14ac:dyDescent="0.3">
      <c r="A594" s="1">
        <v>43441</v>
      </c>
      <c r="B594">
        <v>461.48</v>
      </c>
      <c r="C594">
        <v>61.67</v>
      </c>
      <c r="D594" s="1">
        <f t="shared" si="9"/>
        <v>43465</v>
      </c>
    </row>
    <row r="595" spans="1:4" x14ac:dyDescent="0.3">
      <c r="A595" s="1">
        <v>43448</v>
      </c>
      <c r="B595">
        <v>444.04</v>
      </c>
      <c r="C595">
        <v>60.28</v>
      </c>
      <c r="D595" s="1">
        <f t="shared" si="9"/>
        <v>43465</v>
      </c>
    </row>
    <row r="596" spans="1:4" x14ac:dyDescent="0.3">
      <c r="A596" s="1">
        <v>43455</v>
      </c>
      <c r="B596">
        <v>406.63</v>
      </c>
      <c r="C596">
        <v>53.82</v>
      </c>
      <c r="D596" s="1">
        <f t="shared" si="9"/>
        <v>43465</v>
      </c>
    </row>
    <row r="597" spans="1:4" x14ac:dyDescent="0.3">
      <c r="A597" s="1">
        <v>43462</v>
      </c>
      <c r="B597">
        <v>393.06</v>
      </c>
      <c r="C597">
        <v>52.2</v>
      </c>
      <c r="D597" s="1">
        <f t="shared" si="9"/>
        <v>43465</v>
      </c>
    </row>
    <row r="598" spans="1:4" x14ac:dyDescent="0.3">
      <c r="A598" s="1">
        <v>43469</v>
      </c>
      <c r="B598">
        <v>424.47</v>
      </c>
      <c r="C598">
        <v>57.06</v>
      </c>
      <c r="D598" s="1">
        <f t="shared" si="9"/>
        <v>43496</v>
      </c>
    </row>
    <row r="599" spans="1:4" x14ac:dyDescent="0.3">
      <c r="A599" s="1">
        <v>43476</v>
      </c>
      <c r="B599">
        <v>456.95</v>
      </c>
      <c r="C599">
        <v>60.48</v>
      </c>
      <c r="D599" s="1">
        <f t="shared" si="9"/>
        <v>43496</v>
      </c>
    </row>
    <row r="600" spans="1:4" x14ac:dyDescent="0.3">
      <c r="A600" s="1">
        <v>43483</v>
      </c>
      <c r="B600">
        <v>464.71</v>
      </c>
      <c r="C600">
        <v>62.7</v>
      </c>
      <c r="D600" s="1">
        <f t="shared" si="9"/>
        <v>43496</v>
      </c>
    </row>
    <row r="601" spans="1:4" x14ac:dyDescent="0.3">
      <c r="A601" s="1">
        <v>43490</v>
      </c>
      <c r="B601">
        <v>460.46</v>
      </c>
      <c r="C601">
        <v>61.64</v>
      </c>
      <c r="D601" s="1">
        <f t="shared" si="9"/>
        <v>43496</v>
      </c>
    </row>
    <row r="602" spans="1:4" x14ac:dyDescent="0.3">
      <c r="A602" s="1">
        <v>43497</v>
      </c>
      <c r="B602">
        <v>468.11</v>
      </c>
      <c r="C602">
        <v>62.75</v>
      </c>
      <c r="D602" s="1">
        <f t="shared" si="9"/>
        <v>43524</v>
      </c>
    </row>
    <row r="603" spans="1:4" x14ac:dyDescent="0.3">
      <c r="A603" s="1">
        <v>43504</v>
      </c>
      <c r="B603">
        <v>470.65</v>
      </c>
      <c r="C603">
        <v>62.1</v>
      </c>
      <c r="D603" s="1">
        <f t="shared" si="9"/>
        <v>43524</v>
      </c>
    </row>
    <row r="604" spans="1:4" x14ac:dyDescent="0.3">
      <c r="A604" s="1">
        <v>43511</v>
      </c>
      <c r="B604">
        <v>501.57</v>
      </c>
      <c r="C604">
        <v>66.25</v>
      </c>
      <c r="D604" s="1">
        <f t="shared" si="9"/>
        <v>43524</v>
      </c>
    </row>
    <row r="605" spans="1:4" x14ac:dyDescent="0.3">
      <c r="A605" s="1">
        <v>43518</v>
      </c>
      <c r="B605">
        <v>503.54</v>
      </c>
      <c r="C605">
        <v>67.12</v>
      </c>
      <c r="D605" s="1">
        <f t="shared" si="9"/>
        <v>43524</v>
      </c>
    </row>
    <row r="606" spans="1:4" x14ac:dyDescent="0.3">
      <c r="A606" s="1">
        <v>43525</v>
      </c>
      <c r="B606">
        <v>496.28</v>
      </c>
      <c r="C606">
        <v>65.069999999999993</v>
      </c>
      <c r="D606" s="1">
        <f t="shared" si="9"/>
        <v>43555</v>
      </c>
    </row>
    <row r="607" spans="1:4" x14ac:dyDescent="0.3">
      <c r="A607" s="1">
        <v>43532</v>
      </c>
      <c r="B607">
        <v>493.94</v>
      </c>
      <c r="C607">
        <v>65.739999999999995</v>
      </c>
      <c r="D607" s="1">
        <f t="shared" si="9"/>
        <v>43555</v>
      </c>
    </row>
    <row r="608" spans="1:4" x14ac:dyDescent="0.3">
      <c r="A608" s="1">
        <v>43539</v>
      </c>
      <c r="B608">
        <v>500.98</v>
      </c>
      <c r="C608">
        <v>67.16</v>
      </c>
      <c r="D608" s="1">
        <f t="shared" si="9"/>
        <v>43555</v>
      </c>
    </row>
    <row r="609" spans="1:4" x14ac:dyDescent="0.3">
      <c r="A609" s="1">
        <v>43546</v>
      </c>
      <c r="B609">
        <v>491.43</v>
      </c>
      <c r="C609">
        <v>67.03</v>
      </c>
      <c r="D609" s="1">
        <f t="shared" si="9"/>
        <v>43555</v>
      </c>
    </row>
    <row r="610" spans="1:4" x14ac:dyDescent="0.3">
      <c r="A610" s="1">
        <v>43553</v>
      </c>
      <c r="B610">
        <v>499.96</v>
      </c>
      <c r="C610">
        <v>68.39</v>
      </c>
      <c r="D610" s="1">
        <f t="shared" si="9"/>
        <v>43555</v>
      </c>
    </row>
    <row r="611" spans="1:4" x14ac:dyDescent="0.3">
      <c r="A611" s="1">
        <v>43560</v>
      </c>
      <c r="B611">
        <v>510.52</v>
      </c>
      <c r="C611">
        <v>70.34</v>
      </c>
      <c r="D611" s="1">
        <f t="shared" si="9"/>
        <v>43585</v>
      </c>
    </row>
    <row r="612" spans="1:4" x14ac:dyDescent="0.3">
      <c r="A612" s="1">
        <v>43567</v>
      </c>
      <c r="B612">
        <v>518.66</v>
      </c>
      <c r="C612">
        <v>71.55</v>
      </c>
      <c r="D612" s="1">
        <f t="shared" si="9"/>
        <v>43585</v>
      </c>
    </row>
    <row r="613" spans="1:4" x14ac:dyDescent="0.3">
      <c r="A613" s="1">
        <v>43574</v>
      </c>
      <c r="B613">
        <v>517.84</v>
      </c>
      <c r="C613">
        <v>71.97</v>
      </c>
      <c r="D613" s="1">
        <f t="shared" si="9"/>
        <v>43585</v>
      </c>
    </row>
    <row r="614" spans="1:4" x14ac:dyDescent="0.3">
      <c r="A614" s="1">
        <v>43581</v>
      </c>
      <c r="B614">
        <v>513.9</v>
      </c>
      <c r="C614">
        <v>72.150000000000006</v>
      </c>
      <c r="D614" s="1">
        <f t="shared" si="9"/>
        <v>43585</v>
      </c>
    </row>
    <row r="615" spans="1:4" x14ac:dyDescent="0.3">
      <c r="A615" s="1">
        <v>43588</v>
      </c>
      <c r="B615">
        <v>518.29999999999995</v>
      </c>
      <c r="C615">
        <v>70.849999999999994</v>
      </c>
      <c r="D615" s="1">
        <f t="shared" si="9"/>
        <v>43616</v>
      </c>
    </row>
    <row r="616" spans="1:4" x14ac:dyDescent="0.3">
      <c r="A616" s="1">
        <v>43595</v>
      </c>
      <c r="B616">
        <v>512.71</v>
      </c>
      <c r="C616">
        <v>70.62</v>
      </c>
      <c r="D616" s="1">
        <f t="shared" si="9"/>
        <v>43616</v>
      </c>
    </row>
    <row r="617" spans="1:4" x14ac:dyDescent="0.3">
      <c r="A617" s="1">
        <v>43602</v>
      </c>
      <c r="B617">
        <v>530.74</v>
      </c>
      <c r="C617">
        <v>72.209999999999994</v>
      </c>
      <c r="D617" s="1">
        <f t="shared" si="9"/>
        <v>43616</v>
      </c>
    </row>
    <row r="618" spans="1:4" x14ac:dyDescent="0.3">
      <c r="A618" s="1">
        <v>43609</v>
      </c>
      <c r="B618">
        <v>500.13</v>
      </c>
      <c r="C618">
        <v>68.69</v>
      </c>
      <c r="D618" s="1">
        <f t="shared" si="9"/>
        <v>43616</v>
      </c>
    </row>
    <row r="619" spans="1:4" x14ac:dyDescent="0.3">
      <c r="A619" s="1">
        <v>43616</v>
      </c>
      <c r="B619">
        <v>477.64</v>
      </c>
      <c r="C619">
        <v>64.489999999999995</v>
      </c>
      <c r="D619" s="1">
        <f t="shared" si="9"/>
        <v>43616</v>
      </c>
    </row>
    <row r="620" spans="1:4" x14ac:dyDescent="0.3">
      <c r="A620" s="1">
        <v>43623</v>
      </c>
      <c r="B620">
        <v>471.07</v>
      </c>
      <c r="C620">
        <v>63.29</v>
      </c>
      <c r="D620" s="1">
        <f t="shared" si="9"/>
        <v>43646</v>
      </c>
    </row>
    <row r="621" spans="1:4" x14ac:dyDescent="0.3">
      <c r="A621" s="1">
        <v>43630</v>
      </c>
      <c r="B621">
        <v>465.2</v>
      </c>
      <c r="C621">
        <v>62.01</v>
      </c>
      <c r="D621" s="1">
        <f t="shared" si="9"/>
        <v>43646</v>
      </c>
    </row>
    <row r="622" spans="1:4" x14ac:dyDescent="0.3">
      <c r="A622" s="1">
        <v>43637</v>
      </c>
      <c r="B622">
        <v>488.11</v>
      </c>
      <c r="C622">
        <v>65.2</v>
      </c>
      <c r="D622" s="1">
        <f t="shared" si="9"/>
        <v>43646</v>
      </c>
    </row>
    <row r="623" spans="1:4" x14ac:dyDescent="0.3">
      <c r="A623" s="1">
        <v>43644</v>
      </c>
      <c r="B623">
        <v>497.08</v>
      </c>
      <c r="C623">
        <v>66.55</v>
      </c>
      <c r="D623" s="1">
        <f t="shared" si="9"/>
        <v>43646</v>
      </c>
    </row>
    <row r="624" spans="1:4" x14ac:dyDescent="0.3">
      <c r="A624" s="1">
        <v>43651</v>
      </c>
      <c r="B624">
        <v>487.6</v>
      </c>
      <c r="C624">
        <v>64.23</v>
      </c>
      <c r="D624" s="1">
        <f t="shared" si="9"/>
        <v>43677</v>
      </c>
    </row>
    <row r="625" spans="1:4" x14ac:dyDescent="0.3">
      <c r="A625" s="1">
        <v>43658</v>
      </c>
      <c r="B625">
        <v>506.86</v>
      </c>
      <c r="C625">
        <v>66.72</v>
      </c>
      <c r="D625" s="1">
        <f t="shared" si="9"/>
        <v>43677</v>
      </c>
    </row>
    <row r="626" spans="1:4" x14ac:dyDescent="0.3">
      <c r="A626" s="1">
        <v>43665</v>
      </c>
      <c r="B626">
        <v>477.94</v>
      </c>
      <c r="C626">
        <v>62.47</v>
      </c>
      <c r="D626" s="1">
        <f t="shared" si="9"/>
        <v>43677</v>
      </c>
    </row>
    <row r="627" spans="1:4" x14ac:dyDescent="0.3">
      <c r="A627" s="1">
        <v>43672</v>
      </c>
      <c r="B627">
        <v>486.97</v>
      </c>
      <c r="C627">
        <v>63.46</v>
      </c>
      <c r="D627" s="1">
        <f t="shared" si="9"/>
        <v>43677</v>
      </c>
    </row>
    <row r="628" spans="1:4" x14ac:dyDescent="0.3">
      <c r="A628" s="1">
        <v>43679</v>
      </c>
      <c r="B628">
        <v>472.85</v>
      </c>
      <c r="C628">
        <v>61.89</v>
      </c>
      <c r="D628" s="1">
        <f t="shared" si="9"/>
        <v>43708</v>
      </c>
    </row>
    <row r="629" spans="1:4" x14ac:dyDescent="0.3">
      <c r="A629" s="1">
        <v>43686</v>
      </c>
      <c r="B629">
        <v>446.5</v>
      </c>
      <c r="C629">
        <v>58.53</v>
      </c>
      <c r="D629" s="1">
        <f t="shared" si="9"/>
        <v>43708</v>
      </c>
    </row>
    <row r="630" spans="1:4" x14ac:dyDescent="0.3">
      <c r="A630" s="1">
        <v>43693</v>
      </c>
      <c r="B630">
        <v>449.83</v>
      </c>
      <c r="C630">
        <v>58.64</v>
      </c>
      <c r="D630" s="1">
        <f t="shared" si="9"/>
        <v>43708</v>
      </c>
    </row>
    <row r="631" spans="1:4" x14ac:dyDescent="0.3">
      <c r="A631" s="1">
        <v>43700</v>
      </c>
      <c r="B631">
        <v>455.74</v>
      </c>
      <c r="C631">
        <v>59.34</v>
      </c>
      <c r="D631" s="1">
        <f t="shared" si="9"/>
        <v>43708</v>
      </c>
    </row>
    <row r="632" spans="1:4" x14ac:dyDescent="0.3">
      <c r="A632" s="1">
        <v>43707</v>
      </c>
      <c r="B632">
        <v>452.9</v>
      </c>
      <c r="C632">
        <v>60.43</v>
      </c>
      <c r="D632" s="1">
        <f t="shared" si="9"/>
        <v>43708</v>
      </c>
    </row>
    <row r="633" spans="1:4" x14ac:dyDescent="0.3">
      <c r="A633" s="1">
        <v>43714</v>
      </c>
      <c r="B633">
        <v>454.83</v>
      </c>
      <c r="C633">
        <v>61.54</v>
      </c>
      <c r="D633" s="1">
        <f t="shared" si="9"/>
        <v>43738</v>
      </c>
    </row>
    <row r="634" spans="1:4" x14ac:dyDescent="0.3">
      <c r="A634" s="1">
        <v>43721</v>
      </c>
      <c r="B634">
        <v>458.78</v>
      </c>
      <c r="C634">
        <v>60.22</v>
      </c>
      <c r="D634" s="1">
        <f t="shared" si="9"/>
        <v>43738</v>
      </c>
    </row>
    <row r="635" spans="1:4" x14ac:dyDescent="0.3">
      <c r="A635" s="1">
        <v>43728</v>
      </c>
      <c r="B635">
        <v>484.88</v>
      </c>
      <c r="C635">
        <v>64.28</v>
      </c>
      <c r="D635" s="1">
        <f t="shared" si="9"/>
        <v>43738</v>
      </c>
    </row>
    <row r="636" spans="1:4" x14ac:dyDescent="0.3">
      <c r="A636" s="1">
        <v>43735</v>
      </c>
      <c r="B636">
        <v>467.02</v>
      </c>
      <c r="C636">
        <v>61.91</v>
      </c>
      <c r="D636" s="1">
        <f t="shared" si="9"/>
        <v>43738</v>
      </c>
    </row>
    <row r="637" spans="1:4" x14ac:dyDescent="0.3">
      <c r="A637" s="1">
        <v>43742</v>
      </c>
      <c r="B637">
        <v>459.51</v>
      </c>
      <c r="C637">
        <v>58.37</v>
      </c>
      <c r="D637" s="1">
        <f t="shared" si="9"/>
        <v>43769</v>
      </c>
    </row>
    <row r="638" spans="1:4" x14ac:dyDescent="0.3">
      <c r="A638" s="1">
        <v>43749</v>
      </c>
      <c r="B638">
        <v>469.27</v>
      </c>
      <c r="C638">
        <v>60.51</v>
      </c>
      <c r="D638" s="1">
        <f t="shared" si="9"/>
        <v>43769</v>
      </c>
    </row>
    <row r="639" spans="1:4" x14ac:dyDescent="0.3">
      <c r="A639" s="1">
        <v>43756</v>
      </c>
      <c r="B639">
        <v>463.08</v>
      </c>
      <c r="C639">
        <v>59.42</v>
      </c>
      <c r="D639" s="1">
        <f t="shared" si="9"/>
        <v>43769</v>
      </c>
    </row>
    <row r="640" spans="1:4" x14ac:dyDescent="0.3">
      <c r="A640" s="1">
        <v>43763</v>
      </c>
      <c r="B640">
        <v>480.56</v>
      </c>
      <c r="C640">
        <v>62.02</v>
      </c>
      <c r="D640" s="1">
        <f t="shared" si="9"/>
        <v>43769</v>
      </c>
    </row>
    <row r="641" spans="1:4" x14ac:dyDescent="0.3">
      <c r="A641" s="1">
        <v>43770</v>
      </c>
      <c r="B641">
        <v>473.54</v>
      </c>
      <c r="C641">
        <v>61.69</v>
      </c>
      <c r="D641" s="1">
        <f t="shared" si="9"/>
        <v>43799</v>
      </c>
    </row>
    <row r="642" spans="1:4" x14ac:dyDescent="0.3">
      <c r="A642" s="1">
        <v>43777</v>
      </c>
      <c r="B642">
        <v>476.19</v>
      </c>
      <c r="C642">
        <v>62.51</v>
      </c>
      <c r="D642" s="1">
        <f t="shared" si="9"/>
        <v>43799</v>
      </c>
    </row>
    <row r="643" spans="1:4" x14ac:dyDescent="0.3">
      <c r="A643" s="1">
        <v>43784</v>
      </c>
      <c r="B643">
        <v>483.94</v>
      </c>
      <c r="C643">
        <v>63.3</v>
      </c>
      <c r="D643" s="1">
        <f t="shared" ref="D643:D706" si="10">EOMONTH(A643,0)</f>
        <v>43799</v>
      </c>
    </row>
    <row r="644" spans="1:4" x14ac:dyDescent="0.3">
      <c r="A644" s="1">
        <v>43791</v>
      </c>
      <c r="B644">
        <v>478.17</v>
      </c>
      <c r="C644">
        <v>63.39</v>
      </c>
      <c r="D644" s="1">
        <f t="shared" si="10"/>
        <v>43799</v>
      </c>
    </row>
    <row r="645" spans="1:4" x14ac:dyDescent="0.3">
      <c r="A645" s="1">
        <v>43798</v>
      </c>
      <c r="B645">
        <v>464.15</v>
      </c>
      <c r="C645">
        <v>62.47</v>
      </c>
      <c r="D645" s="1">
        <f t="shared" si="10"/>
        <v>43799</v>
      </c>
    </row>
    <row r="646" spans="1:4" x14ac:dyDescent="0.3">
      <c r="A646" s="1">
        <v>43805</v>
      </c>
      <c r="B646">
        <v>491.19</v>
      </c>
      <c r="C646">
        <v>64.39</v>
      </c>
      <c r="D646" s="1">
        <f t="shared" si="10"/>
        <v>43830</v>
      </c>
    </row>
    <row r="647" spans="1:4" x14ac:dyDescent="0.3">
      <c r="A647" s="1">
        <v>43812</v>
      </c>
      <c r="B647">
        <v>500.93</v>
      </c>
      <c r="C647">
        <v>65.22</v>
      </c>
      <c r="D647" s="1">
        <f t="shared" si="10"/>
        <v>43830</v>
      </c>
    </row>
    <row r="648" spans="1:4" x14ac:dyDescent="0.3">
      <c r="A648" s="1">
        <v>43819</v>
      </c>
      <c r="B648">
        <v>529.33000000000004</v>
      </c>
      <c r="C648">
        <v>66.14</v>
      </c>
      <c r="D648" s="1">
        <f t="shared" si="10"/>
        <v>43830</v>
      </c>
    </row>
    <row r="649" spans="1:4" x14ac:dyDescent="0.3">
      <c r="A649" s="1">
        <v>43826</v>
      </c>
      <c r="B649">
        <v>536.91999999999996</v>
      </c>
      <c r="C649">
        <v>68.16</v>
      </c>
      <c r="D649" s="1">
        <f t="shared" si="10"/>
        <v>43830</v>
      </c>
    </row>
    <row r="650" spans="1:4" x14ac:dyDescent="0.3">
      <c r="A650" s="1">
        <v>43833</v>
      </c>
      <c r="B650">
        <v>543.4</v>
      </c>
      <c r="C650">
        <v>68.599999999999994</v>
      </c>
      <c r="D650" s="1">
        <f t="shared" si="10"/>
        <v>43861</v>
      </c>
    </row>
    <row r="651" spans="1:4" x14ac:dyDescent="0.3">
      <c r="A651" s="1">
        <v>43840</v>
      </c>
      <c r="B651">
        <v>533.47</v>
      </c>
      <c r="C651">
        <v>64.98</v>
      </c>
      <c r="D651" s="1">
        <f t="shared" si="10"/>
        <v>43861</v>
      </c>
    </row>
    <row r="652" spans="1:4" x14ac:dyDescent="0.3">
      <c r="A652" s="1">
        <v>43847</v>
      </c>
      <c r="B652">
        <v>519.55999999999995</v>
      </c>
      <c r="C652">
        <v>64.849999999999994</v>
      </c>
      <c r="D652" s="1">
        <f t="shared" si="10"/>
        <v>43861</v>
      </c>
    </row>
    <row r="653" spans="1:4" x14ac:dyDescent="0.3">
      <c r="A653" s="1">
        <v>43854</v>
      </c>
      <c r="B653">
        <v>480.08</v>
      </c>
      <c r="C653">
        <v>60.69</v>
      </c>
      <c r="D653" s="1">
        <f t="shared" si="10"/>
        <v>43861</v>
      </c>
    </row>
    <row r="654" spans="1:4" x14ac:dyDescent="0.3">
      <c r="A654" s="1">
        <v>43861</v>
      </c>
      <c r="B654">
        <v>454.41</v>
      </c>
      <c r="C654">
        <v>58.16</v>
      </c>
      <c r="D654" s="1">
        <f t="shared" si="10"/>
        <v>43861</v>
      </c>
    </row>
    <row r="655" spans="1:4" x14ac:dyDescent="0.3">
      <c r="A655" s="1">
        <v>43868</v>
      </c>
      <c r="B655">
        <v>444.97</v>
      </c>
      <c r="C655">
        <v>54.47</v>
      </c>
      <c r="D655" s="1">
        <f t="shared" si="10"/>
        <v>43890</v>
      </c>
    </row>
    <row r="656" spans="1:4" x14ac:dyDescent="0.3">
      <c r="A656" s="1">
        <v>43875</v>
      </c>
      <c r="B656">
        <v>452.21</v>
      </c>
      <c r="C656">
        <v>57.32</v>
      </c>
      <c r="D656" s="1">
        <f t="shared" si="10"/>
        <v>43890</v>
      </c>
    </row>
    <row r="657" spans="1:4" x14ac:dyDescent="0.3">
      <c r="A657" s="1">
        <v>43882</v>
      </c>
      <c r="B657">
        <v>425.37</v>
      </c>
      <c r="C657">
        <v>58.5</v>
      </c>
      <c r="D657" s="1">
        <f t="shared" si="10"/>
        <v>43890</v>
      </c>
    </row>
    <row r="658" spans="1:4" x14ac:dyDescent="0.3">
      <c r="A658" s="1">
        <v>43889</v>
      </c>
      <c r="B658">
        <v>362.12</v>
      </c>
      <c r="C658">
        <v>50.52</v>
      </c>
      <c r="D658" s="1">
        <f t="shared" si="10"/>
        <v>43890</v>
      </c>
    </row>
    <row r="659" spans="1:4" x14ac:dyDescent="0.3">
      <c r="A659" s="1">
        <v>43896</v>
      </c>
      <c r="B659">
        <v>336.37</v>
      </c>
      <c r="C659">
        <v>45.27</v>
      </c>
      <c r="D659" s="1">
        <f t="shared" si="10"/>
        <v>43921</v>
      </c>
    </row>
    <row r="660" spans="1:4" x14ac:dyDescent="0.3">
      <c r="A660" s="1">
        <v>43903</v>
      </c>
      <c r="B660">
        <v>272.06</v>
      </c>
      <c r="C660">
        <v>33.85</v>
      </c>
      <c r="D660" s="1">
        <f t="shared" si="10"/>
        <v>43921</v>
      </c>
    </row>
    <row r="661" spans="1:4" x14ac:dyDescent="0.3">
      <c r="A661" s="1">
        <v>43910</v>
      </c>
      <c r="B661">
        <v>207.03</v>
      </c>
      <c r="C661">
        <v>26.98</v>
      </c>
      <c r="D661" s="1">
        <f t="shared" si="10"/>
        <v>43921</v>
      </c>
    </row>
    <row r="662" spans="1:4" x14ac:dyDescent="0.3">
      <c r="A662" s="1">
        <v>43917</v>
      </c>
      <c r="B662">
        <v>218.94</v>
      </c>
      <c r="C662">
        <v>24.93</v>
      </c>
      <c r="D662" s="1">
        <f t="shared" si="10"/>
        <v>43921</v>
      </c>
    </row>
    <row r="663" spans="1:4" x14ac:dyDescent="0.3">
      <c r="A663" s="1">
        <v>43924</v>
      </c>
      <c r="B663">
        <v>247.45</v>
      </c>
      <c r="C663">
        <v>34.11</v>
      </c>
      <c r="D663" s="1">
        <f t="shared" si="10"/>
        <v>43951</v>
      </c>
    </row>
    <row r="664" spans="1:4" x14ac:dyDescent="0.3">
      <c r="A664" s="1">
        <v>43931</v>
      </c>
      <c r="B664">
        <v>228.23</v>
      </c>
      <c r="C664">
        <v>31.48</v>
      </c>
      <c r="D664" s="1">
        <f t="shared" si="10"/>
        <v>43951</v>
      </c>
    </row>
    <row r="665" spans="1:4" x14ac:dyDescent="0.3">
      <c r="A665" s="1">
        <v>43938</v>
      </c>
      <c r="B665">
        <v>223.02</v>
      </c>
      <c r="C665">
        <v>28.08</v>
      </c>
      <c r="D665" s="1">
        <f t="shared" si="10"/>
        <v>43951</v>
      </c>
    </row>
    <row r="666" spans="1:4" x14ac:dyDescent="0.3">
      <c r="A666" s="1">
        <v>43945</v>
      </c>
      <c r="B666">
        <v>180.04</v>
      </c>
      <c r="C666">
        <v>21.44</v>
      </c>
      <c r="D666" s="1">
        <f t="shared" si="10"/>
        <v>43951</v>
      </c>
    </row>
    <row r="667" spans="1:4" x14ac:dyDescent="0.3">
      <c r="A667" s="1">
        <v>43952</v>
      </c>
      <c r="B667">
        <v>199.52</v>
      </c>
      <c r="C667">
        <v>26.44</v>
      </c>
      <c r="D667" s="1">
        <f t="shared" si="10"/>
        <v>43982</v>
      </c>
    </row>
    <row r="668" spans="1:4" x14ac:dyDescent="0.3">
      <c r="A668" s="1">
        <v>43959</v>
      </c>
      <c r="B668">
        <v>217.51</v>
      </c>
      <c r="C668">
        <v>30.97</v>
      </c>
      <c r="D668" s="1">
        <f t="shared" si="10"/>
        <v>43982</v>
      </c>
    </row>
    <row r="669" spans="1:4" x14ac:dyDescent="0.3">
      <c r="A669" s="1">
        <v>43966</v>
      </c>
      <c r="B669">
        <v>222.39</v>
      </c>
      <c r="C669">
        <v>32.5</v>
      </c>
      <c r="D669" s="1">
        <f t="shared" si="10"/>
        <v>43982</v>
      </c>
    </row>
    <row r="670" spans="1:4" x14ac:dyDescent="0.3">
      <c r="A670" s="1">
        <v>43973</v>
      </c>
      <c r="B670">
        <v>241.63</v>
      </c>
      <c r="C670">
        <v>35.130000000000003</v>
      </c>
      <c r="D670" s="1">
        <f t="shared" si="10"/>
        <v>43982</v>
      </c>
    </row>
    <row r="671" spans="1:4" x14ac:dyDescent="0.3">
      <c r="A671" s="1">
        <v>43980</v>
      </c>
      <c r="B671">
        <v>242.71</v>
      </c>
      <c r="C671">
        <v>35.33</v>
      </c>
      <c r="D671" s="1">
        <f t="shared" si="10"/>
        <v>43982</v>
      </c>
    </row>
    <row r="672" spans="1:4" x14ac:dyDescent="0.3">
      <c r="A672" s="1">
        <v>43987</v>
      </c>
      <c r="B672">
        <v>280.95</v>
      </c>
      <c r="C672">
        <v>42.3</v>
      </c>
      <c r="D672" s="1">
        <f t="shared" si="10"/>
        <v>44012</v>
      </c>
    </row>
    <row r="673" spans="1:4" x14ac:dyDescent="0.3">
      <c r="A673" s="1">
        <v>43994</v>
      </c>
      <c r="B673">
        <v>269.24</v>
      </c>
      <c r="C673">
        <v>38.729999999999997</v>
      </c>
      <c r="D673" s="1">
        <f t="shared" si="10"/>
        <v>44012</v>
      </c>
    </row>
    <row r="674" spans="1:4" x14ac:dyDescent="0.3">
      <c r="A674" s="1">
        <v>44001</v>
      </c>
      <c r="B674">
        <v>288.62</v>
      </c>
      <c r="C674">
        <v>42.19</v>
      </c>
      <c r="D674" s="1">
        <f t="shared" si="10"/>
        <v>44012</v>
      </c>
    </row>
    <row r="675" spans="1:4" x14ac:dyDescent="0.3">
      <c r="A675" s="1">
        <v>44008</v>
      </c>
      <c r="B675">
        <v>273.45</v>
      </c>
      <c r="C675">
        <v>41.02</v>
      </c>
      <c r="D675" s="1">
        <f t="shared" si="10"/>
        <v>44012</v>
      </c>
    </row>
    <row r="676" spans="1:4" x14ac:dyDescent="0.3">
      <c r="A676" s="1">
        <v>44015</v>
      </c>
      <c r="B676">
        <v>305.97000000000003</v>
      </c>
      <c r="C676">
        <v>43.14</v>
      </c>
      <c r="D676" s="1">
        <f t="shared" si="10"/>
        <v>44043</v>
      </c>
    </row>
    <row r="677" spans="1:4" x14ac:dyDescent="0.3">
      <c r="A677" s="1">
        <v>44022</v>
      </c>
      <c r="B677">
        <v>307.08999999999997</v>
      </c>
      <c r="C677">
        <v>43.24</v>
      </c>
      <c r="D677" s="1">
        <f t="shared" si="10"/>
        <v>44043</v>
      </c>
    </row>
    <row r="678" spans="1:4" x14ac:dyDescent="0.3">
      <c r="A678" s="1">
        <v>44029</v>
      </c>
      <c r="B678">
        <v>297.79000000000002</v>
      </c>
      <c r="C678">
        <v>43.14</v>
      </c>
      <c r="D678" s="1">
        <f t="shared" si="10"/>
        <v>44043</v>
      </c>
    </row>
    <row r="679" spans="1:4" x14ac:dyDescent="0.3">
      <c r="A679" s="1">
        <v>44036</v>
      </c>
      <c r="B679">
        <v>306.67</v>
      </c>
      <c r="C679">
        <v>43.34</v>
      </c>
      <c r="D679" s="1">
        <f t="shared" si="10"/>
        <v>44043</v>
      </c>
    </row>
    <row r="680" spans="1:4" x14ac:dyDescent="0.3">
      <c r="A680" s="1">
        <v>44043</v>
      </c>
      <c r="B680">
        <v>298.39999999999998</v>
      </c>
      <c r="C680">
        <v>43.3</v>
      </c>
      <c r="D680" s="1">
        <f t="shared" si="10"/>
        <v>44043</v>
      </c>
    </row>
    <row r="681" spans="1:4" x14ac:dyDescent="0.3">
      <c r="A681" s="1">
        <v>44050</v>
      </c>
      <c r="B681">
        <v>307.72000000000003</v>
      </c>
      <c r="C681">
        <v>44.4</v>
      </c>
      <c r="D681" s="1">
        <f t="shared" si="10"/>
        <v>44074</v>
      </c>
    </row>
    <row r="682" spans="1:4" x14ac:dyDescent="0.3">
      <c r="A682" s="1">
        <v>44057</v>
      </c>
      <c r="B682">
        <v>311.89999999999998</v>
      </c>
      <c r="C682">
        <v>44.8</v>
      </c>
      <c r="D682" s="1">
        <f t="shared" si="10"/>
        <v>44074</v>
      </c>
    </row>
    <row r="683" spans="1:4" x14ac:dyDescent="0.3">
      <c r="A683" s="1">
        <v>44064</v>
      </c>
      <c r="B683">
        <v>302.20999999999998</v>
      </c>
      <c r="C683">
        <v>44.35</v>
      </c>
      <c r="D683" s="1">
        <f t="shared" si="10"/>
        <v>44074</v>
      </c>
    </row>
    <row r="684" spans="1:4" x14ac:dyDescent="0.3">
      <c r="A684" s="1">
        <v>44071</v>
      </c>
      <c r="B684">
        <v>308.70999999999998</v>
      </c>
      <c r="C684">
        <v>45.05</v>
      </c>
      <c r="D684" s="1">
        <f t="shared" si="10"/>
        <v>44074</v>
      </c>
    </row>
    <row r="685" spans="1:4" x14ac:dyDescent="0.3">
      <c r="A685" s="1">
        <v>44078</v>
      </c>
      <c r="B685">
        <v>290.49</v>
      </c>
      <c r="C685">
        <v>42.66</v>
      </c>
      <c r="D685" s="1">
        <f t="shared" si="10"/>
        <v>44104</v>
      </c>
    </row>
    <row r="686" spans="1:4" x14ac:dyDescent="0.3">
      <c r="A686" s="1">
        <v>44085</v>
      </c>
      <c r="B686">
        <v>271.72000000000003</v>
      </c>
      <c r="C686">
        <v>39.83</v>
      </c>
      <c r="D686" s="1">
        <f t="shared" si="10"/>
        <v>44104</v>
      </c>
    </row>
    <row r="687" spans="1:4" x14ac:dyDescent="0.3">
      <c r="A687" s="1">
        <v>44092</v>
      </c>
      <c r="B687">
        <v>294.88</v>
      </c>
      <c r="C687">
        <v>43.15</v>
      </c>
      <c r="D687" s="1">
        <f t="shared" si="10"/>
        <v>44104</v>
      </c>
    </row>
    <row r="688" spans="1:4" x14ac:dyDescent="0.3">
      <c r="A688" s="1">
        <v>44099</v>
      </c>
      <c r="B688">
        <v>293.25</v>
      </c>
      <c r="C688">
        <v>41.92</v>
      </c>
      <c r="D688" s="1">
        <f t="shared" si="10"/>
        <v>44104</v>
      </c>
    </row>
    <row r="689" spans="1:4" x14ac:dyDescent="0.3">
      <c r="A689" s="1">
        <v>44106</v>
      </c>
      <c r="B689">
        <v>276.32</v>
      </c>
      <c r="C689">
        <v>39.270000000000003</v>
      </c>
      <c r="D689" s="1">
        <f t="shared" si="10"/>
        <v>44135</v>
      </c>
    </row>
    <row r="690" spans="1:4" x14ac:dyDescent="0.3">
      <c r="A690" s="1">
        <v>44113</v>
      </c>
      <c r="B690">
        <v>303.05</v>
      </c>
      <c r="C690">
        <v>42.85</v>
      </c>
      <c r="D690" s="1">
        <f t="shared" si="10"/>
        <v>44135</v>
      </c>
    </row>
    <row r="691" spans="1:4" x14ac:dyDescent="0.3">
      <c r="A691" s="1">
        <v>44120</v>
      </c>
      <c r="B691">
        <v>309.39</v>
      </c>
      <c r="C691">
        <v>42.93</v>
      </c>
      <c r="D691" s="1">
        <f t="shared" si="10"/>
        <v>44135</v>
      </c>
    </row>
    <row r="692" spans="1:4" x14ac:dyDescent="0.3">
      <c r="A692" s="1">
        <v>44127</v>
      </c>
      <c r="B692">
        <v>298.29000000000002</v>
      </c>
      <c r="C692">
        <v>41.77</v>
      </c>
      <c r="D692" s="1">
        <f t="shared" si="10"/>
        <v>44135</v>
      </c>
    </row>
    <row r="693" spans="1:4" x14ac:dyDescent="0.3">
      <c r="A693" s="1">
        <v>44134</v>
      </c>
      <c r="B693">
        <v>276.27</v>
      </c>
      <c r="C693">
        <v>37.46</v>
      </c>
      <c r="D693" s="1">
        <f t="shared" si="10"/>
        <v>44135</v>
      </c>
    </row>
    <row r="694" spans="1:4" x14ac:dyDescent="0.3">
      <c r="A694" s="1">
        <v>44141</v>
      </c>
      <c r="B694">
        <v>293.66000000000003</v>
      </c>
      <c r="C694">
        <v>39.450000000000003</v>
      </c>
      <c r="D694" s="1">
        <f t="shared" si="10"/>
        <v>44165</v>
      </c>
    </row>
    <row r="695" spans="1:4" x14ac:dyDescent="0.3">
      <c r="A695" s="1">
        <v>44148</v>
      </c>
      <c r="B695">
        <v>311.42</v>
      </c>
      <c r="C695">
        <v>42.78</v>
      </c>
      <c r="D695" s="1">
        <f t="shared" si="10"/>
        <v>44165</v>
      </c>
    </row>
    <row r="696" spans="1:4" x14ac:dyDescent="0.3">
      <c r="A696" s="1">
        <v>44155</v>
      </c>
      <c r="B696">
        <v>326.39999999999998</v>
      </c>
      <c r="C696">
        <v>44.96</v>
      </c>
      <c r="D696" s="1">
        <f t="shared" si="10"/>
        <v>44165</v>
      </c>
    </row>
    <row r="697" spans="1:4" x14ac:dyDescent="0.3">
      <c r="A697" s="1">
        <v>44162</v>
      </c>
      <c r="B697">
        <v>341.39</v>
      </c>
      <c r="C697">
        <v>48.18</v>
      </c>
      <c r="D697" s="1">
        <f t="shared" si="10"/>
        <v>44165</v>
      </c>
    </row>
    <row r="698" spans="1:4" x14ac:dyDescent="0.3">
      <c r="A698" s="1">
        <v>44169</v>
      </c>
      <c r="B698">
        <v>348.39</v>
      </c>
      <c r="C698">
        <v>49.25</v>
      </c>
      <c r="D698" s="1">
        <f t="shared" si="10"/>
        <v>44196</v>
      </c>
    </row>
    <row r="699" spans="1:4" x14ac:dyDescent="0.3">
      <c r="A699" s="1">
        <v>44176</v>
      </c>
      <c r="B699">
        <v>357.86</v>
      </c>
      <c r="C699">
        <v>49.97</v>
      </c>
      <c r="D699" s="1">
        <f t="shared" si="10"/>
        <v>44196</v>
      </c>
    </row>
    <row r="700" spans="1:4" x14ac:dyDescent="0.3">
      <c r="A700" s="1">
        <v>44183</v>
      </c>
      <c r="B700">
        <v>379.57</v>
      </c>
      <c r="C700">
        <v>52.26</v>
      </c>
      <c r="D700" s="1">
        <f t="shared" si="10"/>
        <v>44196</v>
      </c>
    </row>
    <row r="701" spans="1:4" x14ac:dyDescent="0.3">
      <c r="A701" s="1">
        <v>44190</v>
      </c>
      <c r="B701">
        <v>369.75</v>
      </c>
      <c r="C701">
        <v>51.29</v>
      </c>
      <c r="D701" s="1">
        <f t="shared" si="10"/>
        <v>44196</v>
      </c>
    </row>
    <row r="702" spans="1:4" x14ac:dyDescent="0.3">
      <c r="A702" s="1">
        <v>44197</v>
      </c>
      <c r="B702">
        <v>371.14</v>
      </c>
      <c r="C702">
        <v>51.8</v>
      </c>
      <c r="D702" s="1">
        <f t="shared" si="10"/>
        <v>44227</v>
      </c>
    </row>
    <row r="703" spans="1:4" x14ac:dyDescent="0.3">
      <c r="A703" s="1">
        <v>44204</v>
      </c>
      <c r="B703">
        <v>400.7</v>
      </c>
      <c r="C703">
        <v>55.99</v>
      </c>
      <c r="D703" s="1">
        <f t="shared" si="10"/>
        <v>44227</v>
      </c>
    </row>
    <row r="704" spans="1:4" x14ac:dyDescent="0.3">
      <c r="A704" s="1">
        <v>44211</v>
      </c>
      <c r="B704">
        <v>400.18</v>
      </c>
      <c r="C704">
        <v>55.1</v>
      </c>
      <c r="D704" s="1">
        <f t="shared" si="10"/>
        <v>44227</v>
      </c>
    </row>
    <row r="705" spans="1:4" x14ac:dyDescent="0.3">
      <c r="A705" s="1">
        <v>44218</v>
      </c>
      <c r="B705">
        <v>401.73</v>
      </c>
      <c r="C705">
        <v>55.41</v>
      </c>
      <c r="D705" s="1">
        <f t="shared" si="10"/>
        <v>44227</v>
      </c>
    </row>
    <row r="706" spans="1:4" x14ac:dyDescent="0.3">
      <c r="A706" s="1">
        <v>44225</v>
      </c>
      <c r="B706">
        <v>402.77</v>
      </c>
      <c r="C706">
        <v>55.88</v>
      </c>
      <c r="D706" s="1">
        <f t="shared" si="10"/>
        <v>44227</v>
      </c>
    </row>
    <row r="707" spans="1:4" x14ac:dyDescent="0.3">
      <c r="A707" s="1">
        <v>44232</v>
      </c>
      <c r="B707">
        <v>436.64</v>
      </c>
      <c r="C707">
        <v>59.34</v>
      </c>
      <c r="D707" s="1">
        <f t="shared" ref="D707:D770" si="11">EOMONTH(A707,0)</f>
        <v>44255</v>
      </c>
    </row>
    <row r="708" spans="1:4" x14ac:dyDescent="0.3">
      <c r="A708" s="1">
        <v>44239</v>
      </c>
      <c r="B708">
        <v>458.98</v>
      </c>
      <c r="C708">
        <v>62.43</v>
      </c>
      <c r="D708" s="1">
        <f t="shared" si="11"/>
        <v>44255</v>
      </c>
    </row>
    <row r="709" spans="1:4" x14ac:dyDescent="0.3">
      <c r="A709" s="1">
        <v>44246</v>
      </c>
      <c r="B709">
        <v>457.55</v>
      </c>
      <c r="C709">
        <v>62.91</v>
      </c>
      <c r="D709" s="1">
        <f t="shared" si="11"/>
        <v>44255</v>
      </c>
    </row>
    <row r="710" spans="1:4" x14ac:dyDescent="0.3">
      <c r="A710" s="1">
        <v>44253</v>
      </c>
      <c r="B710">
        <v>471.46</v>
      </c>
      <c r="C710">
        <v>66.13</v>
      </c>
      <c r="D710" s="1">
        <f t="shared" si="11"/>
        <v>44255</v>
      </c>
    </row>
    <row r="711" spans="1:4" x14ac:dyDescent="0.3">
      <c r="A711" s="1">
        <v>44260</v>
      </c>
      <c r="B711">
        <v>496.23</v>
      </c>
      <c r="C711">
        <v>69.36</v>
      </c>
      <c r="D711" s="1">
        <f t="shared" si="11"/>
        <v>44286</v>
      </c>
    </row>
    <row r="712" spans="1:4" x14ac:dyDescent="0.3">
      <c r="A712" s="1">
        <v>44267</v>
      </c>
      <c r="B712">
        <v>493.47</v>
      </c>
      <c r="C712">
        <v>69.22</v>
      </c>
      <c r="D712" s="1">
        <f t="shared" si="11"/>
        <v>44286</v>
      </c>
    </row>
    <row r="713" spans="1:4" x14ac:dyDescent="0.3">
      <c r="A713" s="1">
        <v>44274</v>
      </c>
      <c r="B713">
        <v>457.08</v>
      </c>
      <c r="C713">
        <v>64.53</v>
      </c>
      <c r="D713" s="1">
        <f t="shared" si="11"/>
        <v>44286</v>
      </c>
    </row>
    <row r="714" spans="1:4" x14ac:dyDescent="0.3">
      <c r="A714" s="1">
        <v>44281</v>
      </c>
      <c r="B714">
        <v>446.13</v>
      </c>
      <c r="C714">
        <v>64.569999999999993</v>
      </c>
      <c r="D714" s="1">
        <f t="shared" si="11"/>
        <v>44286</v>
      </c>
    </row>
    <row r="715" spans="1:4" x14ac:dyDescent="0.3">
      <c r="A715" s="1">
        <v>44288</v>
      </c>
      <c r="B715">
        <v>452.98</v>
      </c>
      <c r="C715">
        <v>64.86</v>
      </c>
      <c r="D715" s="1">
        <f t="shared" si="11"/>
        <v>44316</v>
      </c>
    </row>
    <row r="716" spans="1:4" x14ac:dyDescent="0.3">
      <c r="A716" s="1">
        <v>44295</v>
      </c>
      <c r="B716">
        <v>445.18</v>
      </c>
      <c r="C716">
        <v>62.95</v>
      </c>
      <c r="D716" s="1">
        <f t="shared" si="11"/>
        <v>44316</v>
      </c>
    </row>
    <row r="717" spans="1:4" x14ac:dyDescent="0.3">
      <c r="A717" s="1">
        <v>44302</v>
      </c>
      <c r="B717">
        <v>470.55</v>
      </c>
      <c r="C717">
        <v>66.77</v>
      </c>
      <c r="D717" s="1">
        <f t="shared" si="11"/>
        <v>44316</v>
      </c>
    </row>
    <row r="718" spans="1:4" x14ac:dyDescent="0.3">
      <c r="A718" s="1">
        <v>44309</v>
      </c>
      <c r="B718">
        <v>461.52</v>
      </c>
      <c r="C718">
        <v>66.11</v>
      </c>
      <c r="D718" s="1">
        <f t="shared" si="11"/>
        <v>44316</v>
      </c>
    </row>
    <row r="719" spans="1:4" x14ac:dyDescent="0.3">
      <c r="A719" s="1">
        <v>44316</v>
      </c>
      <c r="B719">
        <v>463.06</v>
      </c>
      <c r="C719">
        <v>67.25</v>
      </c>
      <c r="D719" s="1">
        <f t="shared" si="11"/>
        <v>44316</v>
      </c>
    </row>
    <row r="720" spans="1:4" x14ac:dyDescent="0.3">
      <c r="A720" s="1">
        <v>44323</v>
      </c>
      <c r="B720">
        <v>473.88</v>
      </c>
      <c r="C720">
        <v>68.28</v>
      </c>
      <c r="D720" s="1">
        <f t="shared" si="11"/>
        <v>44347</v>
      </c>
    </row>
    <row r="721" spans="1:4" x14ac:dyDescent="0.3">
      <c r="A721" s="1">
        <v>44330</v>
      </c>
      <c r="B721">
        <v>472.63</v>
      </c>
      <c r="C721">
        <v>68.709999999999994</v>
      </c>
      <c r="D721" s="1">
        <f t="shared" si="11"/>
        <v>44347</v>
      </c>
    </row>
    <row r="722" spans="1:4" x14ac:dyDescent="0.3">
      <c r="A722" s="1">
        <v>44337</v>
      </c>
      <c r="B722">
        <v>457.92</v>
      </c>
      <c r="C722">
        <v>66.44</v>
      </c>
      <c r="D722" s="1">
        <f t="shared" si="11"/>
        <v>44347</v>
      </c>
    </row>
    <row r="723" spans="1:4" x14ac:dyDescent="0.3">
      <c r="A723" s="1">
        <v>44344</v>
      </c>
      <c r="B723">
        <v>474.18</v>
      </c>
      <c r="C723">
        <v>69.63</v>
      </c>
      <c r="D723" s="1">
        <f t="shared" si="11"/>
        <v>44347</v>
      </c>
    </row>
    <row r="724" spans="1:4" x14ac:dyDescent="0.3">
      <c r="A724" s="1">
        <v>44351</v>
      </c>
      <c r="B724">
        <v>496.27</v>
      </c>
      <c r="C724">
        <v>71.89</v>
      </c>
      <c r="D724" s="1">
        <f t="shared" si="11"/>
        <v>44377</v>
      </c>
    </row>
    <row r="725" spans="1:4" x14ac:dyDescent="0.3">
      <c r="A725" s="1">
        <v>44358</v>
      </c>
      <c r="B725">
        <v>499.13</v>
      </c>
      <c r="C725">
        <v>72.69</v>
      </c>
      <c r="D725" s="1">
        <f t="shared" si="11"/>
        <v>44377</v>
      </c>
    </row>
    <row r="726" spans="1:4" x14ac:dyDescent="0.3">
      <c r="A726" s="1">
        <v>44365</v>
      </c>
      <c r="B726">
        <v>500.38</v>
      </c>
      <c r="C726">
        <v>73.510000000000005</v>
      </c>
      <c r="D726" s="1">
        <f t="shared" si="11"/>
        <v>44377</v>
      </c>
    </row>
    <row r="727" spans="1:4" x14ac:dyDescent="0.3">
      <c r="A727" s="1">
        <v>44372</v>
      </c>
      <c r="B727">
        <v>521.41</v>
      </c>
      <c r="C727">
        <v>76.180000000000007</v>
      </c>
      <c r="D727" s="1">
        <f t="shared" si="11"/>
        <v>44377</v>
      </c>
    </row>
    <row r="728" spans="1:4" x14ac:dyDescent="0.3">
      <c r="A728" s="1">
        <v>44379</v>
      </c>
      <c r="B728">
        <v>523.78</v>
      </c>
      <c r="C728">
        <v>76.17</v>
      </c>
      <c r="D728" s="1">
        <f t="shared" si="11"/>
        <v>44408</v>
      </c>
    </row>
    <row r="729" spans="1:4" x14ac:dyDescent="0.3">
      <c r="A729" s="1">
        <v>44386</v>
      </c>
      <c r="B729">
        <v>517.77</v>
      </c>
      <c r="C729">
        <v>75.55</v>
      </c>
      <c r="D729" s="1">
        <f t="shared" si="11"/>
        <v>44408</v>
      </c>
    </row>
    <row r="730" spans="1:4" x14ac:dyDescent="0.3">
      <c r="A730" s="1">
        <v>44393</v>
      </c>
      <c r="B730">
        <v>509.17</v>
      </c>
      <c r="C730">
        <v>73.59</v>
      </c>
      <c r="D730" s="1">
        <f t="shared" si="11"/>
        <v>44408</v>
      </c>
    </row>
    <row r="731" spans="1:4" x14ac:dyDescent="0.3">
      <c r="A731" s="1">
        <v>44400</v>
      </c>
      <c r="B731">
        <v>509.94</v>
      </c>
      <c r="C731">
        <v>74.099999999999994</v>
      </c>
      <c r="D731" s="1">
        <f t="shared" si="11"/>
        <v>44408</v>
      </c>
    </row>
    <row r="732" spans="1:4" x14ac:dyDescent="0.3">
      <c r="A732" s="1">
        <v>44407</v>
      </c>
      <c r="B732">
        <v>521.97</v>
      </c>
      <c r="C732">
        <v>76.33</v>
      </c>
      <c r="D732" s="1">
        <f t="shared" si="11"/>
        <v>44408</v>
      </c>
    </row>
    <row r="733" spans="1:4" x14ac:dyDescent="0.3">
      <c r="A733" s="1">
        <v>44414</v>
      </c>
      <c r="B733">
        <v>490.28</v>
      </c>
      <c r="C733">
        <v>70.7</v>
      </c>
      <c r="D733" s="1">
        <f t="shared" si="11"/>
        <v>44439</v>
      </c>
    </row>
    <row r="734" spans="1:4" x14ac:dyDescent="0.3">
      <c r="A734" s="1">
        <v>44421</v>
      </c>
      <c r="B734">
        <v>485.15</v>
      </c>
      <c r="C734">
        <v>70.59</v>
      </c>
      <c r="D734" s="1">
        <f t="shared" si="11"/>
        <v>44439</v>
      </c>
    </row>
    <row r="735" spans="1:4" x14ac:dyDescent="0.3">
      <c r="A735" s="1">
        <v>44428</v>
      </c>
      <c r="B735">
        <v>450.21</v>
      </c>
      <c r="C735">
        <v>65.180000000000007</v>
      </c>
      <c r="D735" s="1">
        <f t="shared" si="11"/>
        <v>44439</v>
      </c>
    </row>
    <row r="736" spans="1:4" x14ac:dyDescent="0.3">
      <c r="A736" s="1">
        <v>44435</v>
      </c>
      <c r="B736">
        <v>498</v>
      </c>
      <c r="C736">
        <v>72.7</v>
      </c>
      <c r="D736" s="1">
        <f t="shared" si="11"/>
        <v>44439</v>
      </c>
    </row>
    <row r="737" spans="1:4" x14ac:dyDescent="0.3">
      <c r="A737" s="1">
        <v>44442</v>
      </c>
      <c r="B737">
        <v>500.92</v>
      </c>
      <c r="C737">
        <v>72.61</v>
      </c>
      <c r="D737" s="1">
        <f t="shared" si="11"/>
        <v>44469</v>
      </c>
    </row>
    <row r="738" spans="1:4" x14ac:dyDescent="0.3">
      <c r="A738" s="1">
        <v>44449</v>
      </c>
      <c r="B738">
        <v>501.88</v>
      </c>
      <c r="C738">
        <v>72.92</v>
      </c>
      <c r="D738" s="1">
        <f t="shared" si="11"/>
        <v>44469</v>
      </c>
    </row>
    <row r="739" spans="1:4" x14ac:dyDescent="0.3">
      <c r="A739" s="1">
        <v>44456</v>
      </c>
      <c r="B739">
        <v>517.04</v>
      </c>
      <c r="C739">
        <v>75.34</v>
      </c>
      <c r="D739" s="1">
        <f t="shared" si="11"/>
        <v>44469</v>
      </c>
    </row>
    <row r="740" spans="1:4" x14ac:dyDescent="0.3">
      <c r="A740" s="1">
        <v>44463</v>
      </c>
      <c r="B740">
        <v>525.9</v>
      </c>
      <c r="C740">
        <v>78.09</v>
      </c>
      <c r="D740" s="1">
        <f t="shared" si="11"/>
        <v>44469</v>
      </c>
    </row>
    <row r="741" spans="1:4" x14ac:dyDescent="0.3">
      <c r="A741" s="1">
        <v>44470</v>
      </c>
      <c r="B741">
        <v>535.54</v>
      </c>
      <c r="C741">
        <v>79.28</v>
      </c>
      <c r="D741" s="1">
        <f t="shared" si="11"/>
        <v>44500</v>
      </c>
    </row>
    <row r="742" spans="1:4" x14ac:dyDescent="0.3">
      <c r="A742" s="1">
        <v>44477</v>
      </c>
      <c r="B742">
        <v>558.44000000000005</v>
      </c>
      <c r="C742">
        <v>82.39</v>
      </c>
      <c r="D742" s="1">
        <f t="shared" si="11"/>
        <v>44500</v>
      </c>
    </row>
    <row r="743" spans="1:4" x14ac:dyDescent="0.3">
      <c r="A743" s="1">
        <v>44484</v>
      </c>
      <c r="B743">
        <v>573.41</v>
      </c>
      <c r="C743">
        <v>84.86</v>
      </c>
      <c r="D743" s="1">
        <f t="shared" si="11"/>
        <v>44500</v>
      </c>
    </row>
    <row r="744" spans="1:4" x14ac:dyDescent="0.3">
      <c r="A744" s="1">
        <v>44491</v>
      </c>
      <c r="B744">
        <v>587.6</v>
      </c>
      <c r="C744">
        <v>85.53</v>
      </c>
      <c r="D744" s="1">
        <f t="shared" si="11"/>
        <v>44500</v>
      </c>
    </row>
    <row r="745" spans="1:4" x14ac:dyDescent="0.3">
      <c r="A745" s="1">
        <v>44498</v>
      </c>
      <c r="B745">
        <v>571.85</v>
      </c>
      <c r="C745">
        <v>84.38</v>
      </c>
      <c r="D745" s="1">
        <f t="shared" si="11"/>
        <v>44500</v>
      </c>
    </row>
    <row r="746" spans="1:4" x14ac:dyDescent="0.3">
      <c r="A746" s="1">
        <v>44505</v>
      </c>
      <c r="B746">
        <v>577.62</v>
      </c>
      <c r="C746">
        <v>82.74</v>
      </c>
      <c r="D746" s="1">
        <f t="shared" si="11"/>
        <v>44530</v>
      </c>
    </row>
    <row r="747" spans="1:4" x14ac:dyDescent="0.3">
      <c r="A747" s="1">
        <v>44512</v>
      </c>
      <c r="B747">
        <v>553.27</v>
      </c>
      <c r="C747">
        <v>82.17</v>
      </c>
      <c r="D747" s="1">
        <f t="shared" si="11"/>
        <v>44530</v>
      </c>
    </row>
    <row r="748" spans="1:4" x14ac:dyDescent="0.3">
      <c r="A748" s="1">
        <v>44519</v>
      </c>
      <c r="B748">
        <v>532.08000000000004</v>
      </c>
      <c r="C748">
        <v>78.89</v>
      </c>
      <c r="D748" s="1">
        <f t="shared" si="11"/>
        <v>44530</v>
      </c>
    </row>
    <row r="749" spans="1:4" x14ac:dyDescent="0.3">
      <c r="A749" s="1">
        <v>44526</v>
      </c>
      <c r="B749">
        <v>499.4</v>
      </c>
      <c r="C749">
        <v>72.72</v>
      </c>
      <c r="D749" s="1">
        <f t="shared" si="11"/>
        <v>44530</v>
      </c>
    </row>
    <row r="750" spans="1:4" x14ac:dyDescent="0.3">
      <c r="A750" s="1">
        <v>44533</v>
      </c>
      <c r="B750">
        <v>490.23</v>
      </c>
      <c r="C750">
        <v>69.88</v>
      </c>
      <c r="D750" s="1">
        <f t="shared" si="11"/>
        <v>44561</v>
      </c>
    </row>
    <row r="751" spans="1:4" x14ac:dyDescent="0.3">
      <c r="A751" s="1">
        <v>44540</v>
      </c>
      <c r="B751">
        <v>522.21</v>
      </c>
      <c r="C751">
        <v>75.150000000000006</v>
      </c>
      <c r="D751" s="1">
        <f t="shared" si="11"/>
        <v>44561</v>
      </c>
    </row>
    <row r="752" spans="1:4" x14ac:dyDescent="0.3">
      <c r="A752" s="1">
        <v>44547</v>
      </c>
      <c r="B752">
        <v>516.30999999999995</v>
      </c>
      <c r="C752">
        <v>73.52</v>
      </c>
      <c r="D752" s="1">
        <f t="shared" si="11"/>
        <v>44561</v>
      </c>
    </row>
    <row r="753" spans="1:4" x14ac:dyDescent="0.3">
      <c r="A753" s="1">
        <v>44554</v>
      </c>
      <c r="B753">
        <v>525.94000000000005</v>
      </c>
      <c r="C753">
        <v>76.849999999999994</v>
      </c>
      <c r="D753" s="1">
        <f t="shared" si="11"/>
        <v>44561</v>
      </c>
    </row>
    <row r="754" spans="1:4" x14ac:dyDescent="0.3">
      <c r="A754" s="1">
        <v>44561</v>
      </c>
      <c r="B754">
        <v>545.25</v>
      </c>
      <c r="C754">
        <v>77.78</v>
      </c>
      <c r="D754" s="1">
        <f t="shared" si="11"/>
        <v>44561</v>
      </c>
    </row>
    <row r="755" spans="1:4" x14ac:dyDescent="0.3">
      <c r="A755" s="1">
        <v>44568</v>
      </c>
      <c r="B755">
        <v>556.83000000000004</v>
      </c>
      <c r="C755">
        <v>81.75</v>
      </c>
      <c r="D755" s="1">
        <f t="shared" si="11"/>
        <v>44592</v>
      </c>
    </row>
    <row r="756" spans="1:4" x14ac:dyDescent="0.3">
      <c r="A756" s="1">
        <v>44575</v>
      </c>
      <c r="B756">
        <v>598.22</v>
      </c>
      <c r="C756">
        <v>86.06</v>
      </c>
      <c r="D756" s="1">
        <f t="shared" si="11"/>
        <v>44592</v>
      </c>
    </row>
    <row r="757" spans="1:4" x14ac:dyDescent="0.3">
      <c r="A757" s="1">
        <v>44582</v>
      </c>
      <c r="B757">
        <v>611.12</v>
      </c>
      <c r="C757">
        <v>87.89</v>
      </c>
      <c r="D757" s="1">
        <f t="shared" si="11"/>
        <v>44592</v>
      </c>
    </row>
    <row r="758" spans="1:4" x14ac:dyDescent="0.3">
      <c r="A758" s="1">
        <v>44589</v>
      </c>
      <c r="B758">
        <v>621.58000000000004</v>
      </c>
      <c r="C758">
        <v>90.03</v>
      </c>
      <c r="D758" s="1">
        <f t="shared" si="11"/>
        <v>44592</v>
      </c>
    </row>
    <row r="759" spans="1:4" x14ac:dyDescent="0.3">
      <c r="A759" s="1">
        <v>44596</v>
      </c>
      <c r="B759">
        <v>642.62</v>
      </c>
      <c r="C759">
        <v>93.27</v>
      </c>
      <c r="D759" s="1">
        <f t="shared" si="11"/>
        <v>44620</v>
      </c>
    </row>
    <row r="760" spans="1:4" x14ac:dyDescent="0.3">
      <c r="A760" s="1">
        <v>44603</v>
      </c>
      <c r="B760">
        <v>664.68</v>
      </c>
      <c r="C760">
        <v>94.44</v>
      </c>
      <c r="D760" s="1">
        <f t="shared" si="11"/>
        <v>44620</v>
      </c>
    </row>
    <row r="761" spans="1:4" x14ac:dyDescent="0.3">
      <c r="A761" s="1">
        <v>44610</v>
      </c>
      <c r="B761">
        <v>651.39</v>
      </c>
      <c r="C761">
        <v>93.54</v>
      </c>
      <c r="D761" s="1">
        <f t="shared" si="11"/>
        <v>44620</v>
      </c>
    </row>
    <row r="762" spans="1:4" x14ac:dyDescent="0.3">
      <c r="A762" s="1">
        <v>44617</v>
      </c>
      <c r="B762">
        <v>674.28</v>
      </c>
      <c r="C762">
        <v>97.93</v>
      </c>
      <c r="D762" s="1">
        <f t="shared" si="11"/>
        <v>44620</v>
      </c>
    </row>
    <row r="763" spans="1:4" x14ac:dyDescent="0.3">
      <c r="A763" s="1">
        <v>44624</v>
      </c>
      <c r="B763">
        <v>805.56</v>
      </c>
      <c r="C763">
        <v>118.11</v>
      </c>
      <c r="D763" s="1">
        <f t="shared" si="11"/>
        <v>44651</v>
      </c>
    </row>
    <row r="764" spans="1:4" x14ac:dyDescent="0.3">
      <c r="A764" s="1">
        <v>44631</v>
      </c>
      <c r="B764">
        <v>791.05</v>
      </c>
      <c r="C764">
        <v>112.67</v>
      </c>
      <c r="D764" s="1">
        <f t="shared" si="11"/>
        <v>44651</v>
      </c>
    </row>
    <row r="765" spans="1:4" x14ac:dyDescent="0.3">
      <c r="A765" s="1">
        <v>44638</v>
      </c>
      <c r="B765">
        <v>745.85</v>
      </c>
      <c r="C765">
        <v>107.93</v>
      </c>
      <c r="D765" s="1">
        <f t="shared" si="11"/>
        <v>44651</v>
      </c>
    </row>
    <row r="766" spans="1:4" x14ac:dyDescent="0.3">
      <c r="A766" s="1">
        <v>44645</v>
      </c>
      <c r="B766">
        <v>823.27</v>
      </c>
      <c r="C766">
        <v>120.65</v>
      </c>
      <c r="D766" s="1">
        <f t="shared" si="11"/>
        <v>44651</v>
      </c>
    </row>
    <row r="767" spans="1:4" x14ac:dyDescent="0.3">
      <c r="A767" s="1">
        <v>44652</v>
      </c>
      <c r="B767">
        <v>726.13</v>
      </c>
      <c r="C767">
        <v>104.39</v>
      </c>
      <c r="D767" s="1">
        <f t="shared" si="11"/>
        <v>44681</v>
      </c>
    </row>
    <row r="768" spans="1:4" x14ac:dyDescent="0.3">
      <c r="A768" s="1">
        <v>44659</v>
      </c>
      <c r="B768">
        <v>709.27</v>
      </c>
      <c r="C768">
        <v>102.78</v>
      </c>
      <c r="D768" s="1">
        <f t="shared" si="11"/>
        <v>44681</v>
      </c>
    </row>
    <row r="769" spans="1:4" x14ac:dyDescent="0.3">
      <c r="A769" s="1">
        <v>44666</v>
      </c>
      <c r="B769">
        <v>770.91</v>
      </c>
      <c r="C769">
        <v>111.7</v>
      </c>
      <c r="D769" s="1">
        <f t="shared" si="11"/>
        <v>44681</v>
      </c>
    </row>
    <row r="770" spans="1:4" x14ac:dyDescent="0.3">
      <c r="A770" s="1">
        <v>44673</v>
      </c>
      <c r="B770">
        <v>738.17</v>
      </c>
      <c r="C770">
        <v>106.65</v>
      </c>
      <c r="D770" s="1">
        <f t="shared" si="11"/>
        <v>44681</v>
      </c>
    </row>
    <row r="771" spans="1:4" x14ac:dyDescent="0.3">
      <c r="A771" s="1">
        <v>44680</v>
      </c>
      <c r="B771">
        <v>759.46</v>
      </c>
      <c r="C771">
        <v>109.34</v>
      </c>
      <c r="D771" s="1">
        <f t="shared" ref="D771:D834" si="12">EOMONTH(A771,0)</f>
        <v>44681</v>
      </c>
    </row>
    <row r="772" spans="1:4" x14ac:dyDescent="0.3">
      <c r="A772" s="1">
        <v>44687</v>
      </c>
      <c r="B772">
        <v>762.43</v>
      </c>
      <c r="C772">
        <v>112.39</v>
      </c>
      <c r="D772" s="1">
        <f t="shared" si="12"/>
        <v>44712</v>
      </c>
    </row>
    <row r="773" spans="1:4" x14ac:dyDescent="0.3">
      <c r="A773" s="1">
        <v>44694</v>
      </c>
      <c r="B773">
        <v>755.33</v>
      </c>
      <c r="C773">
        <v>111.55</v>
      </c>
      <c r="D773" s="1">
        <f t="shared" si="12"/>
        <v>44712</v>
      </c>
    </row>
    <row r="774" spans="1:4" x14ac:dyDescent="0.3">
      <c r="A774" s="1">
        <v>44701</v>
      </c>
      <c r="B774">
        <v>778.97</v>
      </c>
      <c r="C774">
        <v>112.55</v>
      </c>
      <c r="D774" s="1">
        <f t="shared" si="12"/>
        <v>44712</v>
      </c>
    </row>
    <row r="775" spans="1:4" x14ac:dyDescent="0.3">
      <c r="A775" s="1">
        <v>44708</v>
      </c>
      <c r="B775">
        <v>821.59</v>
      </c>
      <c r="C775">
        <v>119.43</v>
      </c>
      <c r="D775" s="1">
        <f t="shared" si="12"/>
        <v>44712</v>
      </c>
    </row>
    <row r="776" spans="1:4" x14ac:dyDescent="0.3">
      <c r="A776" s="1">
        <v>44715</v>
      </c>
      <c r="B776">
        <v>842.63</v>
      </c>
      <c r="C776">
        <v>119.72</v>
      </c>
      <c r="D776" s="1">
        <f t="shared" si="12"/>
        <v>44742</v>
      </c>
    </row>
    <row r="777" spans="1:4" x14ac:dyDescent="0.3">
      <c r="A777" s="1">
        <v>44722</v>
      </c>
      <c r="B777">
        <v>868.75</v>
      </c>
      <c r="C777">
        <v>122.01</v>
      </c>
      <c r="D777" s="1">
        <f t="shared" si="12"/>
        <v>44742</v>
      </c>
    </row>
    <row r="778" spans="1:4" x14ac:dyDescent="0.3">
      <c r="A778" s="1">
        <v>44729</v>
      </c>
      <c r="B778">
        <v>804.59</v>
      </c>
      <c r="C778">
        <v>113.12</v>
      </c>
      <c r="D778" s="1">
        <f t="shared" si="12"/>
        <v>44742</v>
      </c>
    </row>
    <row r="779" spans="1:4" x14ac:dyDescent="0.3">
      <c r="A779" s="1">
        <v>44736</v>
      </c>
      <c r="B779">
        <v>800.23</v>
      </c>
      <c r="C779">
        <v>113.12</v>
      </c>
      <c r="D779" s="1">
        <f t="shared" si="12"/>
        <v>44742</v>
      </c>
    </row>
    <row r="780" spans="1:4" x14ac:dyDescent="0.3">
      <c r="A780" s="1">
        <v>44743</v>
      </c>
      <c r="B780">
        <v>773.64</v>
      </c>
      <c r="C780">
        <v>111.63</v>
      </c>
      <c r="D780" s="1">
        <f t="shared" si="12"/>
        <v>44773</v>
      </c>
    </row>
    <row r="781" spans="1:4" x14ac:dyDescent="0.3">
      <c r="A781" s="1">
        <v>44750</v>
      </c>
      <c r="B781">
        <v>738.36</v>
      </c>
      <c r="C781">
        <v>107.02</v>
      </c>
      <c r="D781" s="1">
        <f t="shared" si="12"/>
        <v>44773</v>
      </c>
    </row>
    <row r="782" spans="1:4" x14ac:dyDescent="0.3">
      <c r="A782" s="1">
        <v>44757</v>
      </c>
      <c r="B782">
        <v>694.77</v>
      </c>
      <c r="C782">
        <v>101.16</v>
      </c>
      <c r="D782" s="1">
        <f t="shared" si="12"/>
        <v>44773</v>
      </c>
    </row>
    <row r="783" spans="1:4" x14ac:dyDescent="0.3">
      <c r="A783" s="1">
        <v>44764</v>
      </c>
      <c r="B783">
        <v>687.76</v>
      </c>
      <c r="C783">
        <v>103.2</v>
      </c>
      <c r="D783" s="1">
        <f t="shared" si="12"/>
        <v>44773</v>
      </c>
    </row>
    <row r="784" spans="1:4" x14ac:dyDescent="0.3">
      <c r="A784" s="1">
        <v>44771</v>
      </c>
      <c r="B784">
        <v>709.76</v>
      </c>
      <c r="C784">
        <v>110.01</v>
      </c>
      <c r="D784" s="1">
        <f t="shared" si="12"/>
        <v>44773</v>
      </c>
    </row>
    <row r="785" spans="1:4" x14ac:dyDescent="0.3">
      <c r="A785" s="1">
        <v>44778</v>
      </c>
      <c r="B785">
        <v>626.99</v>
      </c>
      <c r="C785">
        <v>94.92</v>
      </c>
      <c r="D785" s="1">
        <f t="shared" si="12"/>
        <v>44804</v>
      </c>
    </row>
    <row r="786" spans="1:4" x14ac:dyDescent="0.3">
      <c r="A786" s="1">
        <v>44785</v>
      </c>
      <c r="B786">
        <v>658.68</v>
      </c>
      <c r="C786">
        <v>98.15</v>
      </c>
      <c r="D786" s="1">
        <f t="shared" si="12"/>
        <v>44804</v>
      </c>
    </row>
    <row r="787" spans="1:4" x14ac:dyDescent="0.3">
      <c r="A787" s="1">
        <v>44792</v>
      </c>
      <c r="B787">
        <v>651.98</v>
      </c>
      <c r="C787">
        <v>96.72</v>
      </c>
      <c r="D787" s="1">
        <f t="shared" si="12"/>
        <v>44804</v>
      </c>
    </row>
    <row r="788" spans="1:4" x14ac:dyDescent="0.3">
      <c r="A788" s="1">
        <v>44799</v>
      </c>
      <c r="B788">
        <v>677.42</v>
      </c>
      <c r="C788">
        <v>100.99</v>
      </c>
      <c r="D788" s="1">
        <f t="shared" si="12"/>
        <v>44804</v>
      </c>
    </row>
    <row r="789" spans="1:4" x14ac:dyDescent="0.3">
      <c r="A789" s="1">
        <v>44806</v>
      </c>
      <c r="B789">
        <v>622</v>
      </c>
      <c r="C789">
        <v>93.02</v>
      </c>
      <c r="D789" s="1">
        <f t="shared" si="12"/>
        <v>44834</v>
      </c>
    </row>
    <row r="790" spans="1:4" x14ac:dyDescent="0.3">
      <c r="A790" s="1">
        <v>44813</v>
      </c>
      <c r="B790">
        <v>612.5</v>
      </c>
      <c r="C790">
        <v>92.84</v>
      </c>
      <c r="D790" s="1">
        <f t="shared" si="12"/>
        <v>44834</v>
      </c>
    </row>
    <row r="791" spans="1:4" x14ac:dyDescent="0.3">
      <c r="A791" s="1">
        <v>44820</v>
      </c>
      <c r="B791">
        <v>599.82000000000005</v>
      </c>
      <c r="C791">
        <v>91.35</v>
      </c>
      <c r="D791" s="1">
        <f t="shared" si="12"/>
        <v>44834</v>
      </c>
    </row>
    <row r="792" spans="1:4" x14ac:dyDescent="0.3">
      <c r="A792" s="1">
        <v>44827</v>
      </c>
      <c r="B792">
        <v>579.13</v>
      </c>
      <c r="C792">
        <v>86.15</v>
      </c>
      <c r="D792" s="1">
        <f t="shared" si="12"/>
        <v>44834</v>
      </c>
    </row>
    <row r="793" spans="1:4" x14ac:dyDescent="0.3">
      <c r="A793" s="1">
        <v>44834</v>
      </c>
      <c r="B793">
        <v>568.33000000000004</v>
      </c>
      <c r="C793">
        <v>87.96</v>
      </c>
      <c r="D793" s="1">
        <f t="shared" si="12"/>
        <v>44834</v>
      </c>
    </row>
    <row r="794" spans="1:4" x14ac:dyDescent="0.3">
      <c r="A794" s="1">
        <v>44841</v>
      </c>
      <c r="B794">
        <v>632.66</v>
      </c>
      <c r="C794">
        <v>97.92</v>
      </c>
      <c r="D794" s="1">
        <f t="shared" si="12"/>
        <v>44865</v>
      </c>
    </row>
    <row r="795" spans="1:4" x14ac:dyDescent="0.3">
      <c r="A795" s="1">
        <v>44848</v>
      </c>
      <c r="B795">
        <v>606.07000000000005</v>
      </c>
      <c r="C795">
        <v>91.63</v>
      </c>
      <c r="D795" s="1">
        <f t="shared" si="12"/>
        <v>44865</v>
      </c>
    </row>
    <row r="796" spans="1:4" x14ac:dyDescent="0.3">
      <c r="A796" s="1">
        <v>44855</v>
      </c>
      <c r="B796">
        <v>597.42999999999995</v>
      </c>
      <c r="C796">
        <v>93.5</v>
      </c>
      <c r="D796" s="1">
        <f t="shared" si="12"/>
        <v>44865</v>
      </c>
    </row>
    <row r="797" spans="1:4" x14ac:dyDescent="0.3">
      <c r="A797" s="1">
        <v>44862</v>
      </c>
      <c r="B797">
        <v>610.66999999999996</v>
      </c>
      <c r="C797">
        <v>95.77</v>
      </c>
      <c r="D797" s="1">
        <f t="shared" si="12"/>
        <v>44865</v>
      </c>
    </row>
    <row r="798" spans="1:4" x14ac:dyDescent="0.3">
      <c r="A798" s="1">
        <v>44869</v>
      </c>
      <c r="B798">
        <v>617.41999999999996</v>
      </c>
      <c r="C798">
        <v>98.57</v>
      </c>
      <c r="D798" s="1">
        <f t="shared" si="12"/>
        <v>44895</v>
      </c>
    </row>
    <row r="799" spans="1:4" x14ac:dyDescent="0.3">
      <c r="A799" s="1">
        <v>44876</v>
      </c>
      <c r="B799">
        <v>601.88</v>
      </c>
      <c r="C799">
        <v>95.99</v>
      </c>
      <c r="D799" s="1">
        <f t="shared" si="12"/>
        <v>44895</v>
      </c>
    </row>
    <row r="800" spans="1:4" x14ac:dyDescent="0.3">
      <c r="A800" s="1">
        <v>44883</v>
      </c>
      <c r="B800">
        <v>525.98</v>
      </c>
      <c r="C800">
        <v>87.62</v>
      </c>
      <c r="D800" s="1">
        <f t="shared" si="12"/>
        <v>44895</v>
      </c>
    </row>
    <row r="801" spans="1:4" x14ac:dyDescent="0.3">
      <c r="A801" s="1">
        <v>44890</v>
      </c>
      <c r="B801">
        <v>510.64</v>
      </c>
      <c r="C801">
        <v>83.63</v>
      </c>
      <c r="D801" s="1">
        <f t="shared" si="12"/>
        <v>44895</v>
      </c>
    </row>
    <row r="802" spans="1:4" x14ac:dyDescent="0.3">
      <c r="A802" s="1">
        <v>44897</v>
      </c>
      <c r="B802">
        <v>519.87</v>
      </c>
      <c r="C802">
        <v>85.57</v>
      </c>
      <c r="D802" s="1">
        <f t="shared" si="12"/>
        <v>44926</v>
      </c>
    </row>
    <row r="803" spans="1:4" x14ac:dyDescent="0.3">
      <c r="A803" s="1">
        <v>44904</v>
      </c>
      <c r="B803">
        <v>472.56</v>
      </c>
      <c r="C803">
        <v>76.099999999999994</v>
      </c>
      <c r="D803" s="1">
        <f t="shared" si="12"/>
        <v>44926</v>
      </c>
    </row>
    <row r="804" spans="1:4" x14ac:dyDescent="0.3">
      <c r="A804" s="1">
        <v>44911</v>
      </c>
      <c r="B804">
        <v>481.38</v>
      </c>
      <c r="C804">
        <v>79.040000000000006</v>
      </c>
      <c r="D804" s="1">
        <f t="shared" si="12"/>
        <v>44926</v>
      </c>
    </row>
    <row r="805" spans="1:4" x14ac:dyDescent="0.3">
      <c r="A805" s="1">
        <v>44918</v>
      </c>
      <c r="B805">
        <v>507.92</v>
      </c>
      <c r="C805">
        <v>83.92</v>
      </c>
      <c r="D805" s="1">
        <f t="shared" si="12"/>
        <v>44926</v>
      </c>
    </row>
    <row r="806" spans="1:4" x14ac:dyDescent="0.3">
      <c r="A806" s="1">
        <v>44925</v>
      </c>
      <c r="B806">
        <v>533.02</v>
      </c>
      <c r="C806">
        <v>85.91</v>
      </c>
      <c r="D806" s="1">
        <f t="shared" si="12"/>
        <v>44926</v>
      </c>
    </row>
    <row r="807" spans="1:4" x14ac:dyDescent="0.3">
      <c r="A807" s="1">
        <v>44932</v>
      </c>
      <c r="B807">
        <v>478.52</v>
      </c>
      <c r="C807">
        <v>78.569999999999993</v>
      </c>
      <c r="D807" s="1">
        <f t="shared" si="12"/>
        <v>44957</v>
      </c>
    </row>
    <row r="808" spans="1:4" x14ac:dyDescent="0.3">
      <c r="A808" s="1">
        <v>44939</v>
      </c>
      <c r="B808">
        <v>540.44000000000005</v>
      </c>
      <c r="C808">
        <v>85.28</v>
      </c>
      <c r="D808" s="1">
        <f t="shared" si="12"/>
        <v>44957</v>
      </c>
    </row>
    <row r="809" spans="1:4" x14ac:dyDescent="0.3">
      <c r="A809" s="1">
        <v>44946</v>
      </c>
      <c r="B809">
        <v>566.27</v>
      </c>
      <c r="C809">
        <v>87.63</v>
      </c>
      <c r="D809" s="1">
        <f t="shared" si="12"/>
        <v>44957</v>
      </c>
    </row>
    <row r="810" spans="1:4" x14ac:dyDescent="0.3">
      <c r="A810" s="1">
        <v>44953</v>
      </c>
      <c r="B810">
        <v>568.37</v>
      </c>
      <c r="C810">
        <v>86.66</v>
      </c>
      <c r="D810" s="1">
        <f t="shared" si="12"/>
        <v>44957</v>
      </c>
    </row>
    <row r="811" spans="1:4" x14ac:dyDescent="0.3">
      <c r="A811" s="1">
        <v>44960</v>
      </c>
      <c r="B811">
        <v>515.20000000000005</v>
      </c>
      <c r="C811">
        <v>79.94</v>
      </c>
      <c r="D811" s="1">
        <f t="shared" si="12"/>
        <v>44985</v>
      </c>
    </row>
    <row r="812" spans="1:4" x14ac:dyDescent="0.3">
      <c r="A812" s="1">
        <v>44967</v>
      </c>
      <c r="B812">
        <v>560.36</v>
      </c>
      <c r="C812">
        <v>86.39</v>
      </c>
      <c r="D812" s="1">
        <f t="shared" si="12"/>
        <v>44985</v>
      </c>
    </row>
    <row r="813" spans="1:4" x14ac:dyDescent="0.3">
      <c r="A813" s="1">
        <v>44974</v>
      </c>
      <c r="B813">
        <v>531.16999999999996</v>
      </c>
      <c r="C813">
        <v>83</v>
      </c>
      <c r="D813" s="1">
        <f t="shared" si="12"/>
        <v>44985</v>
      </c>
    </row>
    <row r="814" spans="1:4" x14ac:dyDescent="0.3">
      <c r="A814" s="1">
        <v>44981</v>
      </c>
      <c r="B814">
        <v>529.98</v>
      </c>
      <c r="C814">
        <v>83.16</v>
      </c>
      <c r="D814" s="1">
        <f t="shared" si="12"/>
        <v>44985</v>
      </c>
    </row>
    <row r="815" spans="1:4" x14ac:dyDescent="0.3">
      <c r="A815" s="1">
        <v>44988</v>
      </c>
      <c r="B815">
        <v>548.26</v>
      </c>
      <c r="C815">
        <v>85.83</v>
      </c>
      <c r="D815" s="1">
        <f t="shared" si="12"/>
        <v>45016</v>
      </c>
    </row>
    <row r="816" spans="1:4" x14ac:dyDescent="0.3">
      <c r="A816" s="1">
        <v>44995</v>
      </c>
      <c r="B816">
        <v>527.91</v>
      </c>
      <c r="C816">
        <v>82.78</v>
      </c>
      <c r="D816" s="1">
        <f t="shared" si="12"/>
        <v>45016</v>
      </c>
    </row>
    <row r="817" spans="1:4" x14ac:dyDescent="0.3">
      <c r="A817" s="1">
        <v>45002</v>
      </c>
      <c r="B817">
        <v>464.23</v>
      </c>
      <c r="C817">
        <v>72.97</v>
      </c>
      <c r="D817" s="1">
        <f t="shared" si="12"/>
        <v>45016</v>
      </c>
    </row>
    <row r="818" spans="1:4" x14ac:dyDescent="0.3">
      <c r="A818" s="1">
        <v>45009</v>
      </c>
      <c r="B818">
        <v>494.73</v>
      </c>
      <c r="C818">
        <v>74.989999999999995</v>
      </c>
      <c r="D818" s="1">
        <f t="shared" si="12"/>
        <v>45016</v>
      </c>
    </row>
    <row r="819" spans="1:4" x14ac:dyDescent="0.3">
      <c r="A819" s="1">
        <v>45016</v>
      </c>
      <c r="B819">
        <v>532.61</v>
      </c>
      <c r="C819">
        <v>79.77</v>
      </c>
      <c r="D819" s="1">
        <f t="shared" si="12"/>
        <v>45016</v>
      </c>
    </row>
    <row r="820" spans="1:4" x14ac:dyDescent="0.3">
      <c r="A820" s="1">
        <v>45023</v>
      </c>
      <c r="B820">
        <v>543.72</v>
      </c>
      <c r="C820">
        <v>85.12</v>
      </c>
      <c r="D820" s="1">
        <f t="shared" si="12"/>
        <v>45046</v>
      </c>
    </row>
    <row r="821" spans="1:4" x14ac:dyDescent="0.3">
      <c r="A821" s="1">
        <v>45030</v>
      </c>
      <c r="B821">
        <v>547.83000000000004</v>
      </c>
      <c r="C821">
        <v>86.31</v>
      </c>
      <c r="D821" s="1">
        <f t="shared" si="12"/>
        <v>45046</v>
      </c>
    </row>
    <row r="822" spans="1:4" x14ac:dyDescent="0.3">
      <c r="A822" s="1">
        <v>45037</v>
      </c>
      <c r="B822">
        <v>522.9</v>
      </c>
      <c r="C822">
        <v>81.66</v>
      </c>
      <c r="D822" s="1">
        <f t="shared" si="12"/>
        <v>45046</v>
      </c>
    </row>
    <row r="823" spans="1:4" x14ac:dyDescent="0.3">
      <c r="A823" s="1">
        <v>45044</v>
      </c>
      <c r="B823">
        <v>519.07000000000005</v>
      </c>
      <c r="C823">
        <v>79.540000000000006</v>
      </c>
      <c r="D823" s="1">
        <f t="shared" si="12"/>
        <v>45046</v>
      </c>
    </row>
    <row r="824" spans="1:4" x14ac:dyDescent="0.3">
      <c r="A824" s="1">
        <v>45051</v>
      </c>
      <c r="B824">
        <v>484.45</v>
      </c>
      <c r="C824">
        <v>75.3</v>
      </c>
      <c r="D824" s="1">
        <f t="shared" si="12"/>
        <v>45077</v>
      </c>
    </row>
    <row r="825" spans="1:4" x14ac:dyDescent="0.3">
      <c r="A825" s="1">
        <v>45058</v>
      </c>
      <c r="B825">
        <v>475.53</v>
      </c>
      <c r="C825">
        <v>74.17</v>
      </c>
      <c r="D825" s="1">
        <f t="shared" si="12"/>
        <v>45077</v>
      </c>
    </row>
    <row r="826" spans="1:4" x14ac:dyDescent="0.3">
      <c r="A826" s="1">
        <v>45065</v>
      </c>
      <c r="B826">
        <v>491.96</v>
      </c>
      <c r="C826">
        <v>75.58</v>
      </c>
      <c r="D826" s="1">
        <f t="shared" si="12"/>
        <v>45077</v>
      </c>
    </row>
    <row r="827" spans="1:4" x14ac:dyDescent="0.3">
      <c r="A827" s="1">
        <v>45072</v>
      </c>
      <c r="B827">
        <v>500.61</v>
      </c>
      <c r="C827">
        <v>76.95</v>
      </c>
      <c r="D827" s="1">
        <f t="shared" si="12"/>
        <v>45077</v>
      </c>
    </row>
    <row r="828" spans="1:4" x14ac:dyDescent="0.3">
      <c r="A828" s="1">
        <v>45079</v>
      </c>
      <c r="B828">
        <v>493.92</v>
      </c>
      <c r="C828">
        <v>76.13</v>
      </c>
      <c r="D828" s="1">
        <f t="shared" si="12"/>
        <v>45107</v>
      </c>
    </row>
    <row r="829" spans="1:4" x14ac:dyDescent="0.3">
      <c r="A829" s="1">
        <v>45086</v>
      </c>
      <c r="B829">
        <v>494.21</v>
      </c>
      <c r="C829">
        <v>74.790000000000006</v>
      </c>
      <c r="D829" s="1">
        <f t="shared" si="12"/>
        <v>45107</v>
      </c>
    </row>
    <row r="830" spans="1:4" x14ac:dyDescent="0.3">
      <c r="A830" s="1">
        <v>45093</v>
      </c>
      <c r="B830">
        <v>515.04999999999995</v>
      </c>
      <c r="C830">
        <v>76.61</v>
      </c>
      <c r="D830" s="1">
        <f t="shared" si="12"/>
        <v>45107</v>
      </c>
    </row>
    <row r="831" spans="1:4" x14ac:dyDescent="0.3">
      <c r="A831" s="1">
        <v>45100</v>
      </c>
      <c r="B831">
        <v>500.67</v>
      </c>
      <c r="C831">
        <v>73.849999999999994</v>
      </c>
      <c r="D831" s="1">
        <f t="shared" si="12"/>
        <v>45107</v>
      </c>
    </row>
    <row r="832" spans="1:4" x14ac:dyDescent="0.3">
      <c r="A832" s="1">
        <v>45107</v>
      </c>
      <c r="B832">
        <v>508.62</v>
      </c>
      <c r="C832">
        <v>74.900000000000006</v>
      </c>
      <c r="D832" s="1">
        <f t="shared" si="12"/>
        <v>45107</v>
      </c>
    </row>
    <row r="833" spans="1:4" x14ac:dyDescent="0.3">
      <c r="A833" s="1">
        <v>45114</v>
      </c>
      <c r="B833">
        <v>510.29</v>
      </c>
      <c r="C833">
        <v>78.47</v>
      </c>
      <c r="D833" s="1">
        <f t="shared" si="12"/>
        <v>45138</v>
      </c>
    </row>
    <row r="834" spans="1:4" x14ac:dyDescent="0.3">
      <c r="A834" s="1">
        <v>45121</v>
      </c>
      <c r="B834">
        <v>512.4</v>
      </c>
      <c r="C834">
        <v>79.87</v>
      </c>
      <c r="D834" s="1">
        <f t="shared" si="12"/>
        <v>45138</v>
      </c>
    </row>
    <row r="835" spans="1:4" x14ac:dyDescent="0.3">
      <c r="A835" s="1">
        <v>45128</v>
      </c>
      <c r="B835">
        <v>526.89</v>
      </c>
      <c r="C835">
        <v>81.069999999999993</v>
      </c>
      <c r="D835" s="1">
        <f t="shared" ref="D835:D898" si="13">EOMONTH(A835,0)</f>
        <v>45138</v>
      </c>
    </row>
    <row r="836" spans="1:4" x14ac:dyDescent="0.3">
      <c r="A836" s="1">
        <v>45135</v>
      </c>
      <c r="B836">
        <v>568.21</v>
      </c>
      <c r="C836">
        <v>84.99</v>
      </c>
      <c r="D836" s="1">
        <f t="shared" si="13"/>
        <v>45138</v>
      </c>
    </row>
    <row r="837" spans="1:4" x14ac:dyDescent="0.3">
      <c r="A837" s="1">
        <v>45142</v>
      </c>
      <c r="B837">
        <v>574.13</v>
      </c>
      <c r="C837">
        <v>86.24</v>
      </c>
      <c r="D837" s="1">
        <f t="shared" si="13"/>
        <v>45169</v>
      </c>
    </row>
    <row r="838" spans="1:4" x14ac:dyDescent="0.3">
      <c r="A838" s="1">
        <v>45149</v>
      </c>
      <c r="B838">
        <v>576.08000000000004</v>
      </c>
      <c r="C838">
        <v>86.81</v>
      </c>
      <c r="D838" s="1">
        <f t="shared" si="13"/>
        <v>45169</v>
      </c>
    </row>
    <row r="839" spans="1:4" x14ac:dyDescent="0.3">
      <c r="A839" s="1">
        <v>45156</v>
      </c>
      <c r="B839">
        <v>568.85</v>
      </c>
      <c r="C839">
        <v>84.8</v>
      </c>
      <c r="D839" s="1">
        <f t="shared" si="13"/>
        <v>45169</v>
      </c>
    </row>
    <row r="840" spans="1:4" x14ac:dyDescent="0.3">
      <c r="A840" s="1">
        <v>45163</v>
      </c>
      <c r="B840">
        <v>567.99</v>
      </c>
      <c r="C840">
        <v>84.48</v>
      </c>
      <c r="D840" s="1">
        <f t="shared" si="13"/>
        <v>45169</v>
      </c>
    </row>
    <row r="841" spans="1:4" x14ac:dyDescent="0.3">
      <c r="A841" s="1">
        <v>45170</v>
      </c>
      <c r="B841">
        <v>577.05999999999995</v>
      </c>
      <c r="C841">
        <v>88.55</v>
      </c>
      <c r="D841" s="1">
        <f t="shared" si="13"/>
        <v>45199</v>
      </c>
    </row>
    <row r="842" spans="1:4" x14ac:dyDescent="0.3">
      <c r="A842" s="1">
        <v>45177</v>
      </c>
      <c r="B842">
        <v>588.04</v>
      </c>
      <c r="C842">
        <v>90.65</v>
      </c>
      <c r="D842" s="1">
        <f t="shared" si="13"/>
        <v>45199</v>
      </c>
    </row>
    <row r="843" spans="1:4" x14ac:dyDescent="0.3">
      <c r="A843" s="1">
        <v>45184</v>
      </c>
      <c r="B843">
        <v>608.66</v>
      </c>
      <c r="C843">
        <v>93.93</v>
      </c>
      <c r="D843" s="1">
        <f t="shared" si="13"/>
        <v>45199</v>
      </c>
    </row>
    <row r="844" spans="1:4" x14ac:dyDescent="0.3">
      <c r="A844" s="1">
        <v>45191</v>
      </c>
      <c r="B844">
        <v>594.02</v>
      </c>
      <c r="C844">
        <v>93.27</v>
      </c>
      <c r="D844" s="1">
        <f t="shared" si="13"/>
        <v>45199</v>
      </c>
    </row>
    <row r="845" spans="1:4" x14ac:dyDescent="0.3">
      <c r="A845" s="1">
        <v>45198</v>
      </c>
      <c r="B845">
        <v>585.86</v>
      </c>
      <c r="C845">
        <v>95.31</v>
      </c>
      <c r="D845" s="1">
        <f t="shared" si="13"/>
        <v>45199</v>
      </c>
    </row>
    <row r="846" spans="1:4" x14ac:dyDescent="0.3">
      <c r="A846" s="1">
        <v>45205</v>
      </c>
      <c r="B846">
        <v>539.12</v>
      </c>
      <c r="C846">
        <v>84.58</v>
      </c>
      <c r="D846" s="1">
        <f t="shared" si="13"/>
        <v>45230</v>
      </c>
    </row>
    <row r="847" spans="1:4" x14ac:dyDescent="0.3">
      <c r="A847" s="1">
        <v>45212</v>
      </c>
      <c r="B847">
        <v>580.4</v>
      </c>
      <c r="C847">
        <v>90.89</v>
      </c>
      <c r="D847" s="1">
        <f t="shared" si="13"/>
        <v>45230</v>
      </c>
    </row>
    <row r="848" spans="1:4" x14ac:dyDescent="0.3">
      <c r="A848" s="1">
        <v>45219</v>
      </c>
      <c r="B848">
        <v>588.29</v>
      </c>
      <c r="C848">
        <v>92.16</v>
      </c>
      <c r="D848" s="1">
        <f t="shared" si="13"/>
        <v>45230</v>
      </c>
    </row>
    <row r="849" spans="1:4" x14ac:dyDescent="0.3">
      <c r="A849" s="1">
        <v>45226</v>
      </c>
      <c r="B849">
        <v>576.82000000000005</v>
      </c>
      <c r="C849">
        <v>90.48</v>
      </c>
      <c r="D849" s="1">
        <f t="shared" si="13"/>
        <v>45230</v>
      </c>
    </row>
    <row r="850" spans="1:4" x14ac:dyDescent="0.3">
      <c r="A850" s="1">
        <v>45233</v>
      </c>
      <c r="B850">
        <v>547.02</v>
      </c>
      <c r="C850">
        <v>84.89</v>
      </c>
      <c r="D850" s="1">
        <f t="shared" si="13"/>
        <v>45260</v>
      </c>
    </row>
    <row r="851" spans="1:4" x14ac:dyDescent="0.3">
      <c r="A851" s="1">
        <v>45240</v>
      </c>
      <c r="B851">
        <v>536.35</v>
      </c>
      <c r="C851">
        <v>81.430000000000007</v>
      </c>
      <c r="D851" s="1">
        <f t="shared" si="13"/>
        <v>45260</v>
      </c>
    </row>
    <row r="852" spans="1:4" x14ac:dyDescent="0.3">
      <c r="A852" s="1">
        <v>45247</v>
      </c>
      <c r="B852">
        <v>543.6</v>
      </c>
      <c r="C852">
        <v>80.61</v>
      </c>
      <c r="D852" s="1">
        <f t="shared" si="13"/>
        <v>45260</v>
      </c>
    </row>
    <row r="853" spans="1:4" x14ac:dyDescent="0.3">
      <c r="A853" s="1">
        <v>45254</v>
      </c>
      <c r="B853">
        <v>535.22</v>
      </c>
      <c r="C853">
        <v>80.58</v>
      </c>
      <c r="D853" s="1">
        <f t="shared" si="13"/>
        <v>45260</v>
      </c>
    </row>
    <row r="854" spans="1:4" x14ac:dyDescent="0.3">
      <c r="A854" s="1">
        <v>45261</v>
      </c>
      <c r="B854">
        <v>528.96</v>
      </c>
      <c r="C854">
        <v>78.88</v>
      </c>
      <c r="D854" s="1">
        <f t="shared" si="13"/>
        <v>45291</v>
      </c>
    </row>
    <row r="855" spans="1:4" x14ac:dyDescent="0.3">
      <c r="A855" s="1">
        <v>45268</v>
      </c>
      <c r="B855">
        <v>505.89</v>
      </c>
      <c r="C855">
        <v>75.84</v>
      </c>
      <c r="D855" s="1">
        <f t="shared" si="13"/>
        <v>45291</v>
      </c>
    </row>
    <row r="856" spans="1:4" x14ac:dyDescent="0.3">
      <c r="A856" s="1">
        <v>45275</v>
      </c>
      <c r="B856">
        <v>520.59</v>
      </c>
      <c r="C856">
        <v>76.55</v>
      </c>
      <c r="D856" s="1">
        <f t="shared" si="13"/>
        <v>45291</v>
      </c>
    </row>
    <row r="857" spans="1:4" x14ac:dyDescent="0.3">
      <c r="A857" s="1">
        <v>45282</v>
      </c>
      <c r="B857">
        <v>528.6</v>
      </c>
      <c r="C857">
        <v>79.069999999999993</v>
      </c>
      <c r="D857" s="1">
        <f t="shared" si="13"/>
        <v>45291</v>
      </c>
    </row>
    <row r="858" spans="1:4" x14ac:dyDescent="0.3">
      <c r="A858" s="1">
        <v>45289</v>
      </c>
      <c r="B858">
        <v>520.20000000000005</v>
      </c>
      <c r="C858">
        <v>77.040000000000006</v>
      </c>
      <c r="D858" s="1">
        <f t="shared" si="13"/>
        <v>45291</v>
      </c>
    </row>
    <row r="859" spans="1:4" x14ac:dyDescent="0.3">
      <c r="A859" s="1">
        <v>45296</v>
      </c>
      <c r="B859">
        <v>524.36</v>
      </c>
      <c r="C859">
        <v>78.760000000000005</v>
      </c>
      <c r="D859" s="1">
        <f t="shared" si="13"/>
        <v>45322</v>
      </c>
    </row>
    <row r="860" spans="1:4" x14ac:dyDescent="0.3">
      <c r="A860" s="1">
        <v>45303</v>
      </c>
      <c r="B860">
        <v>512.83000000000004</v>
      </c>
      <c r="C860">
        <v>78.290000000000006</v>
      </c>
      <c r="D860" s="1">
        <f t="shared" si="13"/>
        <v>45322</v>
      </c>
    </row>
    <row r="861" spans="1:4" x14ac:dyDescent="0.3">
      <c r="A861" s="1">
        <v>45310</v>
      </c>
      <c r="B861">
        <v>530.83000000000004</v>
      </c>
      <c r="C861">
        <v>78.56</v>
      </c>
      <c r="D861" s="1">
        <f t="shared" si="13"/>
        <v>45322</v>
      </c>
    </row>
    <row r="862" spans="1:4" x14ac:dyDescent="0.3">
      <c r="A862" s="1">
        <v>45317</v>
      </c>
      <c r="B862">
        <v>569.27</v>
      </c>
      <c r="C862">
        <v>83.55</v>
      </c>
      <c r="D862" s="1">
        <f t="shared" si="13"/>
        <v>45322</v>
      </c>
    </row>
    <row r="863" spans="1:4" x14ac:dyDescent="0.3">
      <c r="A863" s="1">
        <v>45324</v>
      </c>
      <c r="B863">
        <v>525.29999999999995</v>
      </c>
      <c r="C863">
        <v>77.33</v>
      </c>
      <c r="D863" s="1">
        <f t="shared" si="13"/>
        <v>45351</v>
      </c>
    </row>
    <row r="864" spans="1:4" x14ac:dyDescent="0.3">
      <c r="A864" s="1">
        <v>45331</v>
      </c>
      <c r="B864">
        <v>557.52</v>
      </c>
      <c r="C864">
        <v>82.19</v>
      </c>
      <c r="D864" s="1">
        <f t="shared" si="13"/>
        <v>45351</v>
      </c>
    </row>
    <row r="865" spans="1:4" x14ac:dyDescent="0.3">
      <c r="A865" s="1">
        <v>45338</v>
      </c>
      <c r="B865">
        <v>561.24</v>
      </c>
      <c r="C865">
        <v>83.47</v>
      </c>
      <c r="D865" s="1">
        <f t="shared" si="13"/>
        <v>45351</v>
      </c>
    </row>
    <row r="866" spans="1:4" x14ac:dyDescent="0.3">
      <c r="A866" s="1">
        <v>45345</v>
      </c>
      <c r="B866">
        <v>550.91999999999996</v>
      </c>
      <c r="C866">
        <v>81.62</v>
      </c>
      <c r="D866" s="1">
        <f t="shared" si="13"/>
        <v>45351</v>
      </c>
    </row>
    <row r="867" spans="1:4" x14ac:dyDescent="0.3">
      <c r="A867" s="1">
        <v>45352</v>
      </c>
      <c r="B867">
        <v>562.04999999999995</v>
      </c>
      <c r="C867">
        <v>83.55</v>
      </c>
      <c r="D867" s="1">
        <f t="shared" si="13"/>
        <v>45382</v>
      </c>
    </row>
    <row r="868" spans="1:4" x14ac:dyDescent="0.3">
      <c r="A868" s="1">
        <v>45359</v>
      </c>
      <c r="B868">
        <v>555.37</v>
      </c>
      <c r="C868">
        <v>82.08</v>
      </c>
      <c r="D868" s="1">
        <f t="shared" si="13"/>
        <v>45382</v>
      </c>
    </row>
    <row r="869" spans="1:4" x14ac:dyDescent="0.3">
      <c r="A869" s="1">
        <v>45366</v>
      </c>
      <c r="B869">
        <v>581.52</v>
      </c>
      <c r="C869">
        <v>85.34</v>
      </c>
      <c r="D869" s="1">
        <f t="shared" si="13"/>
        <v>45382</v>
      </c>
    </row>
    <row r="870" spans="1:4" x14ac:dyDescent="0.3">
      <c r="A870" s="1">
        <v>45373</v>
      </c>
      <c r="B870">
        <v>583.38</v>
      </c>
      <c r="C870">
        <v>85.43</v>
      </c>
      <c r="D870" s="1">
        <f t="shared" si="13"/>
        <v>45382</v>
      </c>
    </row>
    <row r="871" spans="1:4" x14ac:dyDescent="0.3">
      <c r="A871" s="1">
        <v>45380</v>
      </c>
      <c r="B871">
        <v>587.53</v>
      </c>
      <c r="C871">
        <v>87.48</v>
      </c>
      <c r="D871" s="1">
        <f t="shared" si="13"/>
        <v>45382</v>
      </c>
    </row>
    <row r="872" spans="1:4" x14ac:dyDescent="0.3">
      <c r="A872" s="1">
        <v>45387</v>
      </c>
      <c r="B872">
        <v>601.46</v>
      </c>
      <c r="C872">
        <v>91.17</v>
      </c>
      <c r="D872" s="1">
        <f t="shared" si="13"/>
        <v>45412</v>
      </c>
    </row>
    <row r="873" spans="1:4" x14ac:dyDescent="0.3">
      <c r="A873" s="1">
        <v>45394</v>
      </c>
      <c r="B873">
        <v>592.58000000000004</v>
      </c>
      <c r="C873">
        <v>90.45</v>
      </c>
      <c r="D873" s="1">
        <f t="shared" si="13"/>
        <v>45412</v>
      </c>
    </row>
    <row r="874" spans="1:4" x14ac:dyDescent="0.3">
      <c r="A874" s="1">
        <v>45401</v>
      </c>
      <c r="B874">
        <v>583.74</v>
      </c>
      <c r="C874">
        <v>87.29</v>
      </c>
      <c r="D874" s="1">
        <f t="shared" si="13"/>
        <v>45412</v>
      </c>
    </row>
    <row r="875" spans="1:4" x14ac:dyDescent="0.3">
      <c r="A875" s="1">
        <v>45408</v>
      </c>
      <c r="B875">
        <v>592.14</v>
      </c>
      <c r="C875">
        <v>89.5</v>
      </c>
      <c r="D875" s="1">
        <f t="shared" si="13"/>
        <v>45412</v>
      </c>
    </row>
    <row r="876" spans="1:4" x14ac:dyDescent="0.3">
      <c r="A876" s="1">
        <v>45415</v>
      </c>
      <c r="B876">
        <v>546.51</v>
      </c>
      <c r="C876">
        <v>82.96</v>
      </c>
      <c r="D876" s="1">
        <f t="shared" si="13"/>
        <v>45443</v>
      </c>
    </row>
    <row r="877" spans="1:4" x14ac:dyDescent="0.3">
      <c r="A877" s="1">
        <v>45422</v>
      </c>
      <c r="B877">
        <v>549.97</v>
      </c>
      <c r="C877">
        <v>82.79</v>
      </c>
      <c r="D877" s="1">
        <f t="shared" si="13"/>
        <v>45443</v>
      </c>
    </row>
    <row r="878" spans="1:4" x14ac:dyDescent="0.3">
      <c r="A878" s="1">
        <v>45429</v>
      </c>
      <c r="B878">
        <v>552.72</v>
      </c>
      <c r="C878">
        <v>83.98</v>
      </c>
      <c r="D878" s="1">
        <f t="shared" si="13"/>
        <v>45443</v>
      </c>
    </row>
    <row r="879" spans="1:4" x14ac:dyDescent="0.3">
      <c r="A879" s="1">
        <v>45436</v>
      </c>
      <c r="B879">
        <v>531.17999999999995</v>
      </c>
      <c r="C879">
        <v>82.12</v>
      </c>
      <c r="D879" s="1">
        <f t="shared" si="13"/>
        <v>45443</v>
      </c>
    </row>
    <row r="880" spans="1:4" x14ac:dyDescent="0.3">
      <c r="A880" s="1">
        <v>45443</v>
      </c>
      <c r="B880">
        <v>533.29</v>
      </c>
      <c r="C880">
        <v>81.62</v>
      </c>
      <c r="D880" s="1">
        <f t="shared" si="13"/>
        <v>45443</v>
      </c>
    </row>
    <row r="881" spans="1:4" x14ac:dyDescent="0.3">
      <c r="A881" s="1">
        <v>45450</v>
      </c>
      <c r="B881">
        <v>515.28</v>
      </c>
      <c r="C881">
        <v>79.62</v>
      </c>
      <c r="D881" s="1">
        <f t="shared" si="13"/>
        <v>45473</v>
      </c>
    </row>
    <row r="882" spans="1:4" x14ac:dyDescent="0.3">
      <c r="A882" s="1">
        <v>45457</v>
      </c>
      <c r="B882">
        <v>537.67999999999995</v>
      </c>
      <c r="C882">
        <v>82.62</v>
      </c>
      <c r="D882" s="1">
        <f t="shared" si="13"/>
        <v>45473</v>
      </c>
    </row>
    <row r="883" spans="1:4" x14ac:dyDescent="0.3">
      <c r="A883" s="1">
        <v>45464</v>
      </c>
      <c r="B883">
        <v>554.07000000000005</v>
      </c>
      <c r="C883">
        <v>85.24</v>
      </c>
      <c r="D883" s="1">
        <f t="shared" si="13"/>
        <v>45473</v>
      </c>
    </row>
    <row r="884" spans="1:4" x14ac:dyDescent="0.3">
      <c r="A884" s="1">
        <v>45471</v>
      </c>
      <c r="B884">
        <v>563.21</v>
      </c>
      <c r="C884">
        <v>86.41</v>
      </c>
      <c r="D884" s="1">
        <f t="shared" si="13"/>
        <v>45473</v>
      </c>
    </row>
    <row r="885" spans="1:4" x14ac:dyDescent="0.3">
      <c r="A885" s="1">
        <v>45478</v>
      </c>
      <c r="B885">
        <v>573.08000000000004</v>
      </c>
      <c r="C885">
        <v>86.54</v>
      </c>
      <c r="D885" s="1">
        <f t="shared" si="13"/>
        <v>45504</v>
      </c>
    </row>
    <row r="886" spans="1:4" x14ac:dyDescent="0.3">
      <c r="A886" s="1">
        <v>45485</v>
      </c>
      <c r="B886">
        <v>555.79999999999995</v>
      </c>
      <c r="C886">
        <v>85.03</v>
      </c>
      <c r="D886" s="1">
        <f t="shared" si="13"/>
        <v>45504</v>
      </c>
    </row>
    <row r="887" spans="1:4" x14ac:dyDescent="0.3">
      <c r="A887" s="1">
        <v>45492</v>
      </c>
      <c r="B887">
        <v>536.66999999999996</v>
      </c>
      <c r="C887">
        <v>82.63</v>
      </c>
      <c r="D887" s="1">
        <f t="shared" si="13"/>
        <v>45504</v>
      </c>
    </row>
    <row r="888" spans="1:4" x14ac:dyDescent="0.3">
      <c r="A888" s="1">
        <v>45499</v>
      </c>
      <c r="B888">
        <v>525.14</v>
      </c>
      <c r="C888">
        <v>81.13</v>
      </c>
      <c r="D888" s="1">
        <f t="shared" si="13"/>
        <v>45504</v>
      </c>
    </row>
    <row r="889" spans="1:4" x14ac:dyDescent="0.3">
      <c r="A889" s="1">
        <v>45506</v>
      </c>
      <c r="B889">
        <v>510.17</v>
      </c>
      <c r="C889">
        <v>76.81</v>
      </c>
      <c r="D889" s="1">
        <f t="shared" si="13"/>
        <v>45535</v>
      </c>
    </row>
    <row r="890" spans="1:4" x14ac:dyDescent="0.3">
      <c r="A890" s="1">
        <v>45513</v>
      </c>
      <c r="B890">
        <v>526.69000000000005</v>
      </c>
      <c r="C890">
        <v>79.66</v>
      </c>
      <c r="D890" s="1">
        <f t="shared" si="13"/>
        <v>45535</v>
      </c>
    </row>
    <row r="891" spans="1:4" x14ac:dyDescent="0.3">
      <c r="A891" s="1">
        <v>45520</v>
      </c>
      <c r="B891">
        <v>527.48</v>
      </c>
      <c r="C891">
        <v>79.680000000000007</v>
      </c>
      <c r="D891" s="1">
        <f t="shared" si="13"/>
        <v>45535</v>
      </c>
    </row>
    <row r="892" spans="1:4" x14ac:dyDescent="0.3">
      <c r="A892" s="1">
        <v>45527</v>
      </c>
      <c r="B892">
        <v>525.97</v>
      </c>
      <c r="C892">
        <v>79.02</v>
      </c>
      <c r="D892" s="1">
        <f t="shared" si="13"/>
        <v>45535</v>
      </c>
    </row>
    <row r="893" spans="1:4" x14ac:dyDescent="0.3">
      <c r="A893" s="1">
        <v>45534</v>
      </c>
      <c r="B893">
        <v>517.72</v>
      </c>
      <c r="C893">
        <v>78.8</v>
      </c>
      <c r="D893" s="1">
        <f t="shared" si="13"/>
        <v>45535</v>
      </c>
    </row>
    <row r="894" spans="1:4" x14ac:dyDescent="0.3">
      <c r="A894" s="1">
        <v>45541</v>
      </c>
      <c r="B894">
        <v>477.94</v>
      </c>
      <c r="C894">
        <v>71.06</v>
      </c>
      <c r="D894" s="1">
        <f t="shared" si="13"/>
        <v>45565</v>
      </c>
    </row>
    <row r="895" spans="1:4" x14ac:dyDescent="0.3">
      <c r="A895" s="1">
        <v>45548</v>
      </c>
      <c r="B895">
        <v>474.36</v>
      </c>
      <c r="C895">
        <v>71.61</v>
      </c>
      <c r="D895" s="1">
        <f t="shared" si="13"/>
        <v>45565</v>
      </c>
    </row>
    <row r="896" spans="1:4" x14ac:dyDescent="0.3">
      <c r="A896" s="1">
        <v>45555</v>
      </c>
      <c r="B896">
        <v>501.65</v>
      </c>
      <c r="C896">
        <v>74.489999999999995</v>
      </c>
      <c r="D896" s="1">
        <f t="shared" si="13"/>
        <v>45565</v>
      </c>
    </row>
    <row r="897" spans="1:4" x14ac:dyDescent="0.3">
      <c r="A897" s="1">
        <v>45562</v>
      </c>
      <c r="B897">
        <v>491.62</v>
      </c>
      <c r="C897">
        <v>71.98</v>
      </c>
      <c r="D897" s="1">
        <f t="shared" si="13"/>
        <v>45565</v>
      </c>
    </row>
    <row r="898" spans="1:4" x14ac:dyDescent="0.3">
      <c r="A898" s="1">
        <v>45569</v>
      </c>
      <c r="B898">
        <v>517.36</v>
      </c>
      <c r="C898">
        <v>78.05</v>
      </c>
      <c r="D898" s="1">
        <f t="shared" si="13"/>
        <v>45596</v>
      </c>
    </row>
    <row r="899" spans="1:4" x14ac:dyDescent="0.3">
      <c r="A899" s="1">
        <v>45576</v>
      </c>
      <c r="B899">
        <v>531.85</v>
      </c>
      <c r="C899">
        <v>79.040000000000006</v>
      </c>
      <c r="D899" s="1">
        <f t="shared" ref="D899:D962" si="14">EOMONTH(A899,0)</f>
        <v>45596</v>
      </c>
    </row>
    <row r="900" spans="1:4" x14ac:dyDescent="0.3">
      <c r="A900" s="1">
        <v>45583</v>
      </c>
      <c r="B900">
        <v>494.21</v>
      </c>
      <c r="C900">
        <v>73.06</v>
      </c>
      <c r="D900" s="1">
        <f t="shared" si="14"/>
        <v>45596</v>
      </c>
    </row>
    <row r="901" spans="1:4" x14ac:dyDescent="0.3">
      <c r="A901" s="1">
        <v>45590</v>
      </c>
      <c r="B901">
        <v>510.45</v>
      </c>
      <c r="C901">
        <v>76.05</v>
      </c>
      <c r="D901" s="1">
        <f t="shared" si="14"/>
        <v>45596</v>
      </c>
    </row>
    <row r="902" spans="1:4" x14ac:dyDescent="0.3">
      <c r="A902" s="1">
        <v>45597</v>
      </c>
      <c r="B902">
        <v>488.98</v>
      </c>
      <c r="C902">
        <v>73.099999999999994</v>
      </c>
      <c r="D902" s="1">
        <f t="shared" si="14"/>
        <v>45626</v>
      </c>
    </row>
    <row r="903" spans="1:4" x14ac:dyDescent="0.3">
      <c r="A903" s="1">
        <v>45604</v>
      </c>
      <c r="B903">
        <v>496.92</v>
      </c>
      <c r="C903">
        <v>73.87</v>
      </c>
      <c r="D903" s="1">
        <f t="shared" si="14"/>
        <v>45626</v>
      </c>
    </row>
    <row r="904" spans="1:4" x14ac:dyDescent="0.3">
      <c r="A904" s="1">
        <v>45611</v>
      </c>
      <c r="B904">
        <v>479.26</v>
      </c>
      <c r="C904">
        <v>71.040000000000006</v>
      </c>
      <c r="D904" s="1">
        <f t="shared" si="14"/>
        <v>45626</v>
      </c>
    </row>
    <row r="905" spans="1:4" x14ac:dyDescent="0.3">
      <c r="A905" s="1">
        <v>45618</v>
      </c>
      <c r="B905">
        <v>505.2</v>
      </c>
      <c r="C905">
        <v>75.17</v>
      </c>
      <c r="D905" s="1">
        <f t="shared" si="14"/>
        <v>45626</v>
      </c>
    </row>
    <row r="906" spans="1:4" x14ac:dyDescent="0.3">
      <c r="A906" s="1">
        <v>45625</v>
      </c>
      <c r="B906">
        <v>481.35</v>
      </c>
      <c r="C906">
        <v>72.94</v>
      </c>
      <c r="D906" s="1">
        <f t="shared" si="14"/>
        <v>45626</v>
      </c>
    </row>
    <row r="907" spans="1:4" x14ac:dyDescent="0.3">
      <c r="A907" s="1">
        <v>45632</v>
      </c>
      <c r="B907">
        <v>477.42</v>
      </c>
      <c r="C907">
        <v>71.12</v>
      </c>
      <c r="D907" s="1">
        <f t="shared" si="14"/>
        <v>45657</v>
      </c>
    </row>
    <row r="908" spans="1:4" x14ac:dyDescent="0.3">
      <c r="A908" s="1">
        <v>45639</v>
      </c>
      <c r="B908">
        <v>516.41</v>
      </c>
      <c r="C908">
        <v>74.489999999999995</v>
      </c>
      <c r="D908" s="1">
        <f t="shared" si="14"/>
        <v>45657</v>
      </c>
    </row>
    <row r="909" spans="1:4" x14ac:dyDescent="0.3">
      <c r="A909" s="1">
        <v>45646</v>
      </c>
      <c r="B909">
        <v>509.95</v>
      </c>
      <c r="C909">
        <v>72.94</v>
      </c>
      <c r="D909" s="1">
        <f t="shared" si="14"/>
        <v>45657</v>
      </c>
    </row>
    <row r="910" spans="1:4" x14ac:dyDescent="0.3">
      <c r="A910" s="1">
        <v>45653</v>
      </c>
      <c r="B910">
        <v>516.75</v>
      </c>
      <c r="C910">
        <v>74.17</v>
      </c>
      <c r="D910" s="1">
        <f t="shared" si="14"/>
        <v>45657</v>
      </c>
    </row>
    <row r="911" spans="1:4" x14ac:dyDescent="0.3">
      <c r="A911" s="1">
        <v>45660</v>
      </c>
      <c r="B911">
        <v>510.03</v>
      </c>
      <c r="C911">
        <v>76.510000000000005</v>
      </c>
      <c r="D911" s="1">
        <f t="shared" si="14"/>
        <v>45688</v>
      </c>
    </row>
    <row r="912" spans="1:4" x14ac:dyDescent="0.3">
      <c r="A912" s="1">
        <v>45667</v>
      </c>
      <c r="B912">
        <v>528.49</v>
      </c>
      <c r="C912">
        <v>79.760000000000005</v>
      </c>
      <c r="D912" s="1">
        <f t="shared" si="14"/>
        <v>45688</v>
      </c>
    </row>
    <row r="913" spans="1:4" x14ac:dyDescent="0.3">
      <c r="A913" s="1">
        <v>45674</v>
      </c>
      <c r="B913">
        <v>534.74</v>
      </c>
      <c r="C913">
        <v>80.790000000000006</v>
      </c>
      <c r="D913" s="1">
        <f t="shared" si="14"/>
        <v>45688</v>
      </c>
    </row>
    <row r="914" spans="1:4" x14ac:dyDescent="0.3">
      <c r="A914" s="1">
        <v>45681</v>
      </c>
      <c r="B914">
        <v>528.59</v>
      </c>
      <c r="C914">
        <v>78.5</v>
      </c>
      <c r="D914" s="1">
        <f t="shared" si="14"/>
        <v>45688</v>
      </c>
    </row>
    <row r="915" spans="1:4" x14ac:dyDescent="0.3">
      <c r="A915" s="1">
        <v>45688</v>
      </c>
      <c r="B915">
        <v>523.03</v>
      </c>
      <c r="C915">
        <v>76.760000000000005</v>
      </c>
      <c r="D915" s="1">
        <f t="shared" si="14"/>
        <v>45688</v>
      </c>
    </row>
    <row r="916" spans="1:4" x14ac:dyDescent="0.3">
      <c r="A916" s="1">
        <v>45695</v>
      </c>
      <c r="B916">
        <v>504.59</v>
      </c>
      <c r="C916">
        <v>74.66</v>
      </c>
      <c r="D916" s="1">
        <f t="shared" si="14"/>
        <v>45716</v>
      </c>
    </row>
    <row r="917" spans="1:4" x14ac:dyDescent="0.3">
      <c r="A917" s="1">
        <v>45702</v>
      </c>
      <c r="B917">
        <v>508</v>
      </c>
      <c r="C917">
        <v>74.739999999999995</v>
      </c>
      <c r="D917" s="1">
        <f t="shared" si="14"/>
        <v>45716</v>
      </c>
    </row>
    <row r="918" spans="1:4" x14ac:dyDescent="0.3">
      <c r="A918" s="1">
        <v>45709</v>
      </c>
      <c r="B918">
        <v>507.81</v>
      </c>
      <c r="C918">
        <v>74.430000000000007</v>
      </c>
      <c r="D918" s="1">
        <f t="shared" si="14"/>
        <v>45716</v>
      </c>
    </row>
    <row r="919" spans="1:4" x14ac:dyDescent="0.3">
      <c r="A919" s="1">
        <v>45716</v>
      </c>
      <c r="B919">
        <v>490.29</v>
      </c>
      <c r="C919">
        <v>73.180000000000007</v>
      </c>
      <c r="D919" s="1">
        <f t="shared" si="14"/>
        <v>45716</v>
      </c>
    </row>
    <row r="920" spans="1:4" x14ac:dyDescent="0.3">
      <c r="A920" s="1">
        <v>45723</v>
      </c>
      <c r="B920">
        <v>460.81</v>
      </c>
      <c r="C920">
        <v>70.36</v>
      </c>
      <c r="D920" s="1">
        <f t="shared" si="14"/>
        <v>45747</v>
      </c>
    </row>
    <row r="921" spans="1:4" x14ac:dyDescent="0.3">
      <c r="A921" s="1">
        <v>45730</v>
      </c>
      <c r="B921">
        <v>464.85</v>
      </c>
      <c r="C921">
        <v>70.58</v>
      </c>
      <c r="D921" s="1">
        <f t="shared" si="14"/>
        <v>45747</v>
      </c>
    </row>
    <row r="922" spans="1:4" x14ac:dyDescent="0.3">
      <c r="A922" s="1">
        <v>45737</v>
      </c>
      <c r="B922">
        <v>470.58</v>
      </c>
      <c r="C922">
        <v>72.16</v>
      </c>
      <c r="D922" s="1">
        <f t="shared" si="14"/>
        <v>45747</v>
      </c>
    </row>
    <row r="923" spans="1:4" x14ac:dyDescent="0.3">
      <c r="A923" s="1">
        <v>45744</v>
      </c>
      <c r="B923">
        <v>478.07</v>
      </c>
      <c r="C923">
        <v>73.63</v>
      </c>
      <c r="D923" s="1">
        <f t="shared" si="14"/>
        <v>45747</v>
      </c>
    </row>
    <row r="924" spans="1:4" x14ac:dyDescent="0.3">
      <c r="A924" s="1">
        <v>45751</v>
      </c>
      <c r="B924">
        <v>432.19</v>
      </c>
      <c r="C924">
        <v>65.58</v>
      </c>
      <c r="D924" s="1">
        <f t="shared" si="14"/>
        <v>45777</v>
      </c>
    </row>
    <row r="925" spans="1:4" x14ac:dyDescent="0.3">
      <c r="A925" s="1">
        <v>45758</v>
      </c>
      <c r="B925">
        <v>430.91</v>
      </c>
      <c r="C925">
        <v>64.760000000000005</v>
      </c>
      <c r="D925" s="1">
        <f t="shared" si="14"/>
        <v>45777</v>
      </c>
    </row>
    <row r="926" spans="1:4" x14ac:dyDescent="0.3">
      <c r="A926" s="1">
        <v>45765</v>
      </c>
      <c r="B926">
        <v>443.65</v>
      </c>
      <c r="C926">
        <v>67.959999999999994</v>
      </c>
      <c r="D926" s="1">
        <f t="shared" si="14"/>
        <v>45777</v>
      </c>
    </row>
    <row r="927" spans="1:4" x14ac:dyDescent="0.3">
      <c r="A927" s="1">
        <v>45772</v>
      </c>
      <c r="B927">
        <v>442.04</v>
      </c>
      <c r="C927">
        <v>66.87</v>
      </c>
      <c r="D927" s="1">
        <f t="shared" si="14"/>
        <v>45777</v>
      </c>
    </row>
    <row r="928" spans="1:4" x14ac:dyDescent="0.3">
      <c r="A928" s="1">
        <v>45779</v>
      </c>
      <c r="B928">
        <v>415.88</v>
      </c>
      <c r="C928">
        <v>61.29</v>
      </c>
      <c r="D928" s="1">
        <f t="shared" si="14"/>
        <v>45808</v>
      </c>
    </row>
    <row r="929" spans="1:4" x14ac:dyDescent="0.3">
      <c r="A929" s="1">
        <v>45786</v>
      </c>
      <c r="B929">
        <v>435.45</v>
      </c>
      <c r="C929">
        <v>63.91</v>
      </c>
      <c r="D929" s="1">
        <f t="shared" si="14"/>
        <v>45808</v>
      </c>
    </row>
    <row r="930" spans="1:4" x14ac:dyDescent="0.3">
      <c r="A930" s="1">
        <v>45793</v>
      </c>
      <c r="B930">
        <v>448.95</v>
      </c>
      <c r="C930">
        <v>65.41</v>
      </c>
      <c r="D930" s="1">
        <f t="shared" si="14"/>
        <v>45808</v>
      </c>
    </row>
    <row r="931" spans="1:4" x14ac:dyDescent="0.3">
      <c r="A931" s="1">
        <v>45800</v>
      </c>
      <c r="B931">
        <v>447.67</v>
      </c>
      <c r="C931">
        <v>64.78</v>
      </c>
      <c r="D931" s="1">
        <f t="shared" si="14"/>
        <v>45808</v>
      </c>
    </row>
    <row r="932" spans="1:4" x14ac:dyDescent="0.3">
      <c r="A932" s="1">
        <v>45807</v>
      </c>
      <c r="B932">
        <v>442.4</v>
      </c>
      <c r="C932">
        <v>63.9</v>
      </c>
      <c r="D932" s="1">
        <f t="shared" si="14"/>
        <v>45808</v>
      </c>
    </row>
    <row r="933" spans="1:4" x14ac:dyDescent="0.3">
      <c r="A933" s="1">
        <v>45814</v>
      </c>
      <c r="B933">
        <v>450.48</v>
      </c>
      <c r="C933">
        <v>66.47</v>
      </c>
      <c r="D933" s="1">
        <f t="shared" si="14"/>
        <v>45838</v>
      </c>
    </row>
    <row r="934" spans="1:4" x14ac:dyDescent="0.3">
      <c r="A934" s="1">
        <v>45821</v>
      </c>
      <c r="B934">
        <v>493.04</v>
      </c>
      <c r="C934">
        <v>74.23</v>
      </c>
      <c r="D934" s="1">
        <f t="shared" si="14"/>
        <v>45838</v>
      </c>
    </row>
    <row r="935" spans="1:4" x14ac:dyDescent="0.3">
      <c r="A935" s="1">
        <v>45828</v>
      </c>
      <c r="B935">
        <v>510.89</v>
      </c>
      <c r="C935">
        <v>77.010000000000005</v>
      </c>
      <c r="D935" s="1">
        <f t="shared" si="14"/>
        <v>45838</v>
      </c>
    </row>
    <row r="936" spans="1:4" x14ac:dyDescent="0.3">
      <c r="A936" s="1">
        <v>45835</v>
      </c>
      <c r="B936">
        <v>473.07</v>
      </c>
      <c r="C936">
        <v>67.77</v>
      </c>
      <c r="D936" s="1">
        <f t="shared" si="14"/>
        <v>45838</v>
      </c>
    </row>
    <row r="937" spans="1:4" x14ac:dyDescent="0.3">
      <c r="A937" s="1">
        <v>45842</v>
      </c>
      <c r="B937">
        <v>465.63</v>
      </c>
      <c r="C937">
        <v>68.8</v>
      </c>
      <c r="D937" s="1">
        <f t="shared" si="14"/>
        <v>45869</v>
      </c>
    </row>
    <row r="938" spans="1:4" x14ac:dyDescent="0.3">
      <c r="A938" s="1">
        <v>45849</v>
      </c>
      <c r="B938">
        <v>475.18</v>
      </c>
      <c r="C938">
        <v>70.36</v>
      </c>
      <c r="D938" s="1">
        <f t="shared" si="14"/>
        <v>45869</v>
      </c>
    </row>
    <row r="939" spans="1:4" x14ac:dyDescent="0.3">
      <c r="A939" s="1">
        <v>45856</v>
      </c>
      <c r="B939">
        <v>471.09</v>
      </c>
      <c r="C939">
        <v>69.28</v>
      </c>
      <c r="D939" s="1">
        <f t="shared" si="14"/>
        <v>45869</v>
      </c>
    </row>
    <row r="940" spans="1:4" x14ac:dyDescent="0.3">
      <c r="A940" s="1">
        <v>45863</v>
      </c>
      <c r="B940">
        <v>462.09</v>
      </c>
      <c r="C940">
        <v>68.44</v>
      </c>
      <c r="D940" s="1">
        <f t="shared" si="14"/>
        <v>45869</v>
      </c>
    </row>
    <row r="941" spans="1:4" x14ac:dyDescent="0.3">
      <c r="A941" s="1">
        <v>45870</v>
      </c>
      <c r="B941">
        <v>469.39</v>
      </c>
      <c r="C941">
        <v>69.67</v>
      </c>
      <c r="D941" s="1">
        <f t="shared" si="14"/>
        <v>45900</v>
      </c>
    </row>
    <row r="942" spans="1:4" x14ac:dyDescent="0.3">
      <c r="A942" s="1">
        <v>45877</v>
      </c>
      <c r="B942">
        <v>453.62</v>
      </c>
      <c r="C942">
        <v>66.59</v>
      </c>
      <c r="D942" s="1">
        <f t="shared" si="14"/>
        <v>45900</v>
      </c>
    </row>
    <row r="943" spans="1:4" x14ac:dyDescent="0.3">
      <c r="A943" s="1">
        <v>45884</v>
      </c>
      <c r="B943">
        <v>449.18</v>
      </c>
      <c r="C943">
        <v>65.849999999999994</v>
      </c>
      <c r="D943" s="1">
        <f t="shared" si="14"/>
        <v>45900</v>
      </c>
    </row>
    <row r="944" spans="1:4" x14ac:dyDescent="0.3">
      <c r="A944" s="1">
        <v>45891</v>
      </c>
      <c r="B944">
        <v>456.94</v>
      </c>
      <c r="C944">
        <v>67.73</v>
      </c>
      <c r="D944" s="1">
        <f t="shared" si="14"/>
        <v>45900</v>
      </c>
    </row>
    <row r="945" spans="1:4" x14ac:dyDescent="0.3">
      <c r="A945" s="1">
        <v>45898</v>
      </c>
      <c r="B945">
        <v>456.32</v>
      </c>
      <c r="C945">
        <v>68.12</v>
      </c>
      <c r="D945" s="1">
        <f t="shared" si="14"/>
        <v>45900</v>
      </c>
    </row>
    <row r="946" spans="1:4" x14ac:dyDescent="0.3">
      <c r="A946" s="1">
        <v>45905</v>
      </c>
      <c r="B946">
        <v>434.73</v>
      </c>
      <c r="C946">
        <v>65.5</v>
      </c>
      <c r="D946" s="1">
        <f t="shared" si="14"/>
        <v>45930</v>
      </c>
    </row>
    <row r="947" spans="1:4" x14ac:dyDescent="0.3">
      <c r="A947" s="1">
        <v>45912</v>
      </c>
      <c r="B947">
        <v>433.7</v>
      </c>
      <c r="C947">
        <v>66.989999999999995</v>
      </c>
      <c r="D947" s="1">
        <f t="shared" si="14"/>
        <v>45930</v>
      </c>
    </row>
    <row r="948" spans="1:4" x14ac:dyDescent="0.3">
      <c r="A948" s="1">
        <v>45919</v>
      </c>
      <c r="B948">
        <v>428.06</v>
      </c>
      <c r="C948">
        <v>66.680000000000007</v>
      </c>
      <c r="D948" s="1">
        <f t="shared" si="14"/>
        <v>45930</v>
      </c>
    </row>
    <row r="949" spans="1:4" x14ac:dyDescent="0.3">
      <c r="A949" s="1">
        <v>45926</v>
      </c>
      <c r="B949">
        <v>443.91</v>
      </c>
      <c r="C949">
        <v>70.13</v>
      </c>
      <c r="D949" s="1">
        <f t="shared" si="14"/>
        <v>45930</v>
      </c>
    </row>
    <row r="950" spans="1:4" x14ac:dyDescent="0.3">
      <c r="A950" s="1">
        <v>45933</v>
      </c>
      <c r="B950">
        <v>419.01</v>
      </c>
      <c r="C950">
        <v>64.53</v>
      </c>
      <c r="D950" s="1">
        <f t="shared" si="14"/>
        <v>45961</v>
      </c>
    </row>
    <row r="951" spans="1:4" x14ac:dyDescent="0.3">
      <c r="A951" s="1">
        <v>45940</v>
      </c>
      <c r="B951">
        <v>402.82</v>
      </c>
      <c r="C951">
        <v>62.73</v>
      </c>
      <c r="D951" s="1">
        <f t="shared" si="14"/>
        <v>45961</v>
      </c>
    </row>
    <row r="952" spans="1:4" x14ac:dyDescent="0.3">
      <c r="A952" s="1">
        <v>45947</v>
      </c>
      <c r="B952">
        <v>394.97</v>
      </c>
      <c r="C952">
        <v>61.29</v>
      </c>
      <c r="D952" s="1">
        <f t="shared" si="14"/>
        <v>45961</v>
      </c>
    </row>
    <row r="953" spans="1:4" x14ac:dyDescent="0.3">
      <c r="A953" s="1">
        <v>45954</v>
      </c>
      <c r="B953">
        <v>421.27</v>
      </c>
      <c r="C953">
        <v>65.94</v>
      </c>
      <c r="D953" s="1">
        <f t="shared" si="14"/>
        <v>45961</v>
      </c>
    </row>
    <row r="954" spans="1:4" x14ac:dyDescent="0.3">
      <c r="A954" s="1">
        <v>45961</v>
      </c>
      <c r="B954">
        <v>419.84</v>
      </c>
      <c r="C954">
        <v>65.069999999999993</v>
      </c>
      <c r="D954" s="1">
        <f t="shared" si="14"/>
        <v>45961</v>
      </c>
    </row>
    <row r="955" spans="1:4" x14ac:dyDescent="0.3">
      <c r="A955" s="1">
        <v>45968</v>
      </c>
      <c r="B955">
        <v>415.79</v>
      </c>
      <c r="C955">
        <v>63.63</v>
      </c>
      <c r="D955" s="1">
        <f t="shared" si="14"/>
        <v>45991</v>
      </c>
    </row>
    <row r="956" spans="1:4" x14ac:dyDescent="0.3">
      <c r="A956" s="1">
        <v>45975</v>
      </c>
      <c r="B956">
        <v>414.2</v>
      </c>
      <c r="C956">
        <v>64.39</v>
      </c>
      <c r="D956" s="1">
        <f t="shared" si="14"/>
        <v>45991</v>
      </c>
    </row>
    <row r="957" spans="1:4" x14ac:dyDescent="0.3">
      <c r="A957" s="1">
        <v>45982</v>
      </c>
      <c r="B957">
        <v>393.49</v>
      </c>
      <c r="C957">
        <v>62.56</v>
      </c>
      <c r="D957" s="1">
        <f t="shared" si="14"/>
        <v>45991</v>
      </c>
    </row>
    <row r="958" spans="1:4" x14ac:dyDescent="0.3">
      <c r="A958" s="1">
        <v>45989</v>
      </c>
      <c r="B958">
        <v>386.86</v>
      </c>
      <c r="C958">
        <v>63.2</v>
      </c>
      <c r="D958" s="1">
        <f t="shared" si="14"/>
        <v>45991</v>
      </c>
    </row>
    <row r="959" spans="1:4" x14ac:dyDescent="0.3">
      <c r="A959" s="1">
        <v>45996</v>
      </c>
      <c r="B959">
        <v>392.66</v>
      </c>
      <c r="C959">
        <v>63.75</v>
      </c>
      <c r="D959" s="1">
        <f t="shared" si="14"/>
        <v>46022</v>
      </c>
    </row>
    <row r="960" spans="1:4" x14ac:dyDescent="0.3">
      <c r="A960" s="1">
        <v>46003</v>
      </c>
      <c r="B960">
        <v>377.8</v>
      </c>
      <c r="C960">
        <v>61.12</v>
      </c>
      <c r="D960" s="1">
        <f t="shared" si="14"/>
        <v>46022</v>
      </c>
    </row>
    <row r="961" spans="1:4" x14ac:dyDescent="0.3">
      <c r="A961" s="1">
        <v>46010</v>
      </c>
      <c r="B961">
        <v>371.89</v>
      </c>
      <c r="C961">
        <v>60.47</v>
      </c>
      <c r="D961" s="1">
        <f t="shared" si="14"/>
        <v>46022</v>
      </c>
    </row>
    <row r="962" spans="1:4" x14ac:dyDescent="0.3">
      <c r="A962" s="1">
        <v>46017</v>
      </c>
      <c r="B962">
        <v>380.84</v>
      </c>
      <c r="C962">
        <v>60.64</v>
      </c>
      <c r="D962" s="1">
        <f t="shared" si="14"/>
        <v>46022</v>
      </c>
    </row>
    <row r="963" spans="1:4" x14ac:dyDescent="0.3">
      <c r="A963" s="1">
        <v>46024</v>
      </c>
      <c r="B963">
        <v>375.21</v>
      </c>
      <c r="C963">
        <v>60.75</v>
      </c>
      <c r="D963" s="1">
        <f t="shared" ref="D963:D970" si="15">EOMONTH(A963,0)</f>
        <v>46053</v>
      </c>
    </row>
    <row r="964" spans="1:4" x14ac:dyDescent="0.3">
      <c r="A964" s="1">
        <v>46031</v>
      </c>
      <c r="B964">
        <v>383.53</v>
      </c>
      <c r="C964">
        <v>63.34</v>
      </c>
      <c r="D964" s="1">
        <f t="shared" si="15"/>
        <v>46053</v>
      </c>
    </row>
    <row r="965" spans="1:4" x14ac:dyDescent="0.3">
      <c r="A965" s="1">
        <v>46038</v>
      </c>
      <c r="B965">
        <v>388.37</v>
      </c>
      <c r="C965">
        <v>64.13</v>
      </c>
      <c r="D965" s="1">
        <f t="shared" si="15"/>
        <v>46053</v>
      </c>
    </row>
    <row r="966" spans="1:4" x14ac:dyDescent="0.3">
      <c r="A966" s="1">
        <v>46045</v>
      </c>
      <c r="B966">
        <v>396.51</v>
      </c>
      <c r="C966">
        <v>65.88</v>
      </c>
      <c r="D966" s="1">
        <f t="shared" si="15"/>
        <v>46053</v>
      </c>
    </row>
    <row r="967" spans="1:4" x14ac:dyDescent="0.3">
      <c r="A967" s="1">
        <v>46052</v>
      </c>
      <c r="B967">
        <v>417.34</v>
      </c>
      <c r="C967">
        <v>70.69</v>
      </c>
      <c r="D967" s="1">
        <f t="shared" si="15"/>
        <v>46053</v>
      </c>
    </row>
    <row r="968" spans="1:4" x14ac:dyDescent="0.3">
      <c r="A968" s="1">
        <v>46059</v>
      </c>
      <c r="B968">
        <v>415.82</v>
      </c>
      <c r="C968">
        <v>68.05</v>
      </c>
      <c r="D968" s="1">
        <f t="shared" si="15"/>
        <v>46081</v>
      </c>
    </row>
    <row r="969" spans="1:4" x14ac:dyDescent="0.3">
      <c r="A969" s="1">
        <v>46066</v>
      </c>
      <c r="B969">
        <v>414.14</v>
      </c>
      <c r="C969">
        <v>67.75</v>
      </c>
      <c r="D969" s="1">
        <f t="shared" si="15"/>
        <v>46081</v>
      </c>
    </row>
    <row r="970" spans="1:4" x14ac:dyDescent="0.3">
      <c r="A970" s="1">
        <v>46069</v>
      </c>
      <c r="B970">
        <v>419.39</v>
      </c>
      <c r="C970">
        <v>68.55</v>
      </c>
      <c r="D970" s="1">
        <f t="shared" si="15"/>
        <v>46081</v>
      </c>
    </row>
  </sheetData>
  <sortState xmlns:xlrd2="http://schemas.microsoft.com/office/spreadsheetml/2017/richdata2" ref="A2:C970">
    <sortCondition ref="A1:A9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919D-0F1C-4936-837F-619C15B074C7}">
  <dimension ref="A3:E227"/>
  <sheetViews>
    <sheetView topLeftCell="A2" workbookViewId="0">
      <selection activeCell="D11" sqref="D11"/>
    </sheetView>
  </sheetViews>
  <sheetFormatPr defaultRowHeight="14.4" x14ac:dyDescent="0.3"/>
  <cols>
    <col min="1" max="1" width="12.44140625" bestFit="1" customWidth="1"/>
    <col min="2" max="2" width="49.33203125" bestFit="1" customWidth="1"/>
    <col min="3" max="3" width="29.33203125" bestFit="1" customWidth="1"/>
    <col min="5" max="5" width="6.6640625" bestFit="1" customWidth="1"/>
  </cols>
  <sheetData>
    <row r="3" spans="1:3" x14ac:dyDescent="0.3">
      <c r="A3" s="2" t="s">
        <v>4</v>
      </c>
      <c r="B3" t="s">
        <v>6</v>
      </c>
      <c r="C3" t="s">
        <v>7</v>
      </c>
    </row>
    <row r="4" spans="1:3" x14ac:dyDescent="0.3">
      <c r="A4" s="3">
        <v>39325</v>
      </c>
      <c r="C4">
        <v>71.777999999999992</v>
      </c>
    </row>
    <row r="5" spans="1:3" x14ac:dyDescent="0.3">
      <c r="A5" s="3">
        <v>39355</v>
      </c>
      <c r="C5">
        <v>77.44</v>
      </c>
    </row>
    <row r="6" spans="1:3" x14ac:dyDescent="0.3">
      <c r="A6" s="3">
        <v>39386</v>
      </c>
      <c r="C6">
        <v>82.982500000000002</v>
      </c>
    </row>
    <row r="7" spans="1:3" x14ac:dyDescent="0.3">
      <c r="A7" s="3">
        <v>39416</v>
      </c>
      <c r="C7">
        <v>92.179999999999993</v>
      </c>
    </row>
    <row r="8" spans="1:3" x14ac:dyDescent="0.3">
      <c r="A8" s="3">
        <v>39447</v>
      </c>
      <c r="C8">
        <v>91.912499999999994</v>
      </c>
    </row>
    <row r="9" spans="1:3" x14ac:dyDescent="0.3">
      <c r="A9" s="3">
        <v>39478</v>
      </c>
      <c r="C9">
        <v>91.997500000000002</v>
      </c>
    </row>
    <row r="10" spans="1:3" x14ac:dyDescent="0.3">
      <c r="A10" s="3">
        <v>39507</v>
      </c>
      <c r="C10">
        <v>94.623999999999995</v>
      </c>
    </row>
    <row r="11" spans="1:3" x14ac:dyDescent="0.3">
      <c r="A11" s="3">
        <v>39538</v>
      </c>
      <c r="C11">
        <v>103.52</v>
      </c>
    </row>
    <row r="12" spans="1:3" x14ac:dyDescent="0.3">
      <c r="A12" s="3">
        <v>39568</v>
      </c>
      <c r="C12">
        <v>110.97749999999999</v>
      </c>
    </row>
    <row r="13" spans="1:3" x14ac:dyDescent="0.3">
      <c r="A13" s="3">
        <v>39599</v>
      </c>
      <c r="C13">
        <v>124.85999999999999</v>
      </c>
    </row>
    <row r="14" spans="1:3" x14ac:dyDescent="0.3">
      <c r="A14" s="3">
        <v>39629</v>
      </c>
      <c r="C14">
        <v>136.7775</v>
      </c>
    </row>
    <row r="15" spans="1:3" x14ac:dyDescent="0.3">
      <c r="A15" s="3">
        <v>39660</v>
      </c>
      <c r="C15">
        <v>136.32000000000002</v>
      </c>
    </row>
    <row r="16" spans="1:3" x14ac:dyDescent="0.3">
      <c r="A16" s="3">
        <v>39691</v>
      </c>
      <c r="C16">
        <v>115.60599999999999</v>
      </c>
    </row>
    <row r="17" spans="1:5" x14ac:dyDescent="0.3">
      <c r="A17" s="3">
        <v>39721</v>
      </c>
      <c r="C17">
        <v>101.20500000000001</v>
      </c>
    </row>
    <row r="18" spans="1:5" x14ac:dyDescent="0.3">
      <c r="A18" s="3">
        <v>39752</v>
      </c>
      <c r="C18">
        <v>72.262</v>
      </c>
    </row>
    <row r="19" spans="1:5" x14ac:dyDescent="0.3">
      <c r="A19" s="3">
        <v>39782</v>
      </c>
      <c r="C19">
        <v>53.567500000000003</v>
      </c>
    </row>
    <row r="20" spans="1:5" x14ac:dyDescent="0.3">
      <c r="A20" s="3">
        <v>39813</v>
      </c>
      <c r="C20">
        <v>42.13</v>
      </c>
    </row>
    <row r="21" spans="1:5" x14ac:dyDescent="0.3">
      <c r="A21" s="3">
        <v>39844</v>
      </c>
      <c r="C21">
        <v>46.43</v>
      </c>
    </row>
    <row r="22" spans="1:5" x14ac:dyDescent="0.3">
      <c r="A22" s="3">
        <v>39872</v>
      </c>
      <c r="C22">
        <v>44.815000000000005</v>
      </c>
      <c r="E22" t="s">
        <v>13</v>
      </c>
    </row>
    <row r="23" spans="1:5" x14ac:dyDescent="0.3">
      <c r="A23" s="3">
        <v>39903</v>
      </c>
      <c r="C23">
        <v>48.244999999999997</v>
      </c>
    </row>
    <row r="24" spans="1:5" x14ac:dyDescent="0.3">
      <c r="A24" s="3">
        <v>39933</v>
      </c>
      <c r="C24">
        <v>53.137500000000003</v>
      </c>
    </row>
    <row r="25" spans="1:5" x14ac:dyDescent="0.3">
      <c r="A25" s="3">
        <v>39964</v>
      </c>
      <c r="C25">
        <v>58.653999999999996</v>
      </c>
    </row>
    <row r="26" spans="1:5" x14ac:dyDescent="0.3">
      <c r="A26" s="3">
        <v>39994</v>
      </c>
      <c r="C26">
        <v>69.342500000000001</v>
      </c>
    </row>
    <row r="27" spans="1:5" x14ac:dyDescent="0.3">
      <c r="A27" s="3">
        <v>40025</v>
      </c>
      <c r="C27">
        <v>66.914000000000001</v>
      </c>
    </row>
    <row r="28" spans="1:5" x14ac:dyDescent="0.3">
      <c r="A28" s="3">
        <v>40056</v>
      </c>
      <c r="C28">
        <v>73.245000000000005</v>
      </c>
    </row>
    <row r="29" spans="1:5" x14ac:dyDescent="0.3">
      <c r="A29" s="3">
        <v>40086</v>
      </c>
      <c r="C29">
        <v>67.734999999999999</v>
      </c>
    </row>
    <row r="30" spans="1:5" x14ac:dyDescent="0.3">
      <c r="A30" s="3">
        <v>40117</v>
      </c>
      <c r="C30">
        <v>73.835999999999999</v>
      </c>
    </row>
    <row r="31" spans="1:5" x14ac:dyDescent="0.3">
      <c r="A31" s="3">
        <v>40147</v>
      </c>
      <c r="C31">
        <v>76.45</v>
      </c>
    </row>
    <row r="32" spans="1:5" x14ac:dyDescent="0.3">
      <c r="A32" s="3">
        <v>40178</v>
      </c>
      <c r="C32">
        <v>74.649999999999991</v>
      </c>
    </row>
    <row r="33" spans="1:3" x14ac:dyDescent="0.3">
      <c r="A33" s="3">
        <v>40209</v>
      </c>
      <c r="C33">
        <v>76.16</v>
      </c>
    </row>
    <row r="34" spans="1:3" x14ac:dyDescent="0.3">
      <c r="A34" s="3">
        <v>40237</v>
      </c>
      <c r="C34">
        <v>74.567499999999995</v>
      </c>
    </row>
    <row r="35" spans="1:3" x14ac:dyDescent="0.3">
      <c r="A35" s="3">
        <v>40268</v>
      </c>
      <c r="C35">
        <v>79.612499999999997</v>
      </c>
    </row>
    <row r="36" spans="1:3" x14ac:dyDescent="0.3">
      <c r="A36" s="3">
        <v>40298</v>
      </c>
      <c r="C36">
        <v>85.903999999999996</v>
      </c>
    </row>
    <row r="37" spans="1:3" x14ac:dyDescent="0.3">
      <c r="A37" s="3">
        <v>40329</v>
      </c>
      <c r="C37">
        <v>76.02</v>
      </c>
    </row>
    <row r="38" spans="1:3" x14ac:dyDescent="0.3">
      <c r="A38" s="3">
        <v>40359</v>
      </c>
      <c r="C38">
        <v>75.694999999999993</v>
      </c>
    </row>
    <row r="39" spans="1:3" x14ac:dyDescent="0.3">
      <c r="A39" s="3">
        <v>40390</v>
      </c>
      <c r="C39">
        <v>75.614000000000004</v>
      </c>
    </row>
    <row r="40" spans="1:3" x14ac:dyDescent="0.3">
      <c r="A40" s="3">
        <v>40421</v>
      </c>
      <c r="C40">
        <v>76.544999999999987</v>
      </c>
    </row>
    <row r="41" spans="1:3" x14ac:dyDescent="0.3">
      <c r="A41" s="3">
        <v>40451</v>
      </c>
      <c r="C41">
        <v>77.977499999999992</v>
      </c>
    </row>
    <row r="42" spans="1:3" x14ac:dyDescent="0.3">
      <c r="A42" s="3">
        <v>40482</v>
      </c>
      <c r="C42">
        <v>83.268000000000001</v>
      </c>
    </row>
    <row r="43" spans="1:3" x14ac:dyDescent="0.3">
      <c r="A43" s="3">
        <v>40512</v>
      </c>
      <c r="C43">
        <v>86.092499999999987</v>
      </c>
    </row>
    <row r="44" spans="1:3" x14ac:dyDescent="0.3">
      <c r="A44" s="3">
        <v>40543</v>
      </c>
      <c r="C44">
        <v>92.513999999999996</v>
      </c>
    </row>
    <row r="45" spans="1:3" x14ac:dyDescent="0.3">
      <c r="A45" s="3">
        <v>40574</v>
      </c>
      <c r="C45">
        <v>97.102500000000006</v>
      </c>
    </row>
    <row r="46" spans="1:3" x14ac:dyDescent="0.3">
      <c r="A46" s="3">
        <v>40602</v>
      </c>
      <c r="C46">
        <v>103.88499999999999</v>
      </c>
    </row>
    <row r="47" spans="1:3" x14ac:dyDescent="0.3">
      <c r="A47" s="3">
        <v>40633</v>
      </c>
      <c r="C47">
        <v>114.83250000000001</v>
      </c>
    </row>
    <row r="48" spans="1:3" x14ac:dyDescent="0.3">
      <c r="A48" s="3">
        <v>40663</v>
      </c>
      <c r="C48">
        <v>123.73600000000002</v>
      </c>
    </row>
    <row r="49" spans="1:3" x14ac:dyDescent="0.3">
      <c r="A49" s="3">
        <v>40694</v>
      </c>
      <c r="C49">
        <v>112.595</v>
      </c>
    </row>
    <row r="50" spans="1:3" x14ac:dyDescent="0.3">
      <c r="A50" s="3">
        <v>40724</v>
      </c>
      <c r="C50">
        <v>113.2375</v>
      </c>
    </row>
    <row r="51" spans="1:3" x14ac:dyDescent="0.3">
      <c r="A51" s="3">
        <v>40755</v>
      </c>
      <c r="C51">
        <v>116.554</v>
      </c>
    </row>
    <row r="52" spans="1:3" x14ac:dyDescent="0.3">
      <c r="A52" s="3">
        <v>40786</v>
      </c>
      <c r="C52">
        <v>109.345</v>
      </c>
    </row>
    <row r="53" spans="1:3" x14ac:dyDescent="0.3">
      <c r="A53" s="3">
        <v>40816</v>
      </c>
      <c r="C53">
        <v>108.80999999999999</v>
      </c>
    </row>
    <row r="54" spans="1:3" x14ac:dyDescent="0.3">
      <c r="A54" s="3">
        <v>40847</v>
      </c>
      <c r="C54">
        <v>110.00749999999999</v>
      </c>
    </row>
    <row r="55" spans="1:3" x14ac:dyDescent="0.3">
      <c r="A55" s="3">
        <v>40877</v>
      </c>
      <c r="C55">
        <v>110.02250000000001</v>
      </c>
    </row>
    <row r="56" spans="1:3" x14ac:dyDescent="0.3">
      <c r="A56" s="3">
        <v>40908</v>
      </c>
      <c r="C56">
        <v>107.45</v>
      </c>
    </row>
    <row r="57" spans="1:3" x14ac:dyDescent="0.3">
      <c r="A57" s="3">
        <v>40939</v>
      </c>
      <c r="C57">
        <v>111.205</v>
      </c>
    </row>
    <row r="58" spans="1:3" x14ac:dyDescent="0.3">
      <c r="A58" s="3">
        <v>40968</v>
      </c>
      <c r="C58">
        <v>119.23499999999999</v>
      </c>
    </row>
    <row r="59" spans="1:3" x14ac:dyDescent="0.3">
      <c r="A59" s="3">
        <v>40999</v>
      </c>
      <c r="C59">
        <v>124.69000000000001</v>
      </c>
    </row>
    <row r="60" spans="1:3" x14ac:dyDescent="0.3">
      <c r="A60" s="3">
        <v>41029</v>
      </c>
      <c r="C60">
        <v>120.96249999999999</v>
      </c>
    </row>
    <row r="61" spans="1:3" x14ac:dyDescent="0.3">
      <c r="A61" s="3">
        <v>41060</v>
      </c>
      <c r="C61">
        <v>109.85249999999999</v>
      </c>
    </row>
    <row r="62" spans="1:3" x14ac:dyDescent="0.3">
      <c r="A62" s="3">
        <v>41090</v>
      </c>
      <c r="C62">
        <v>96.858000000000004</v>
      </c>
    </row>
    <row r="63" spans="1:3" x14ac:dyDescent="0.3">
      <c r="A63" s="3">
        <v>41121</v>
      </c>
      <c r="C63">
        <v>103.4725</v>
      </c>
    </row>
    <row r="64" spans="1:3" x14ac:dyDescent="0.3">
      <c r="A64" s="3">
        <v>41152</v>
      </c>
      <c r="C64">
        <v>112.752</v>
      </c>
    </row>
    <row r="65" spans="1:3" x14ac:dyDescent="0.3">
      <c r="A65" s="3">
        <v>41182</v>
      </c>
      <c r="C65">
        <v>113.67999999999999</v>
      </c>
    </row>
    <row r="66" spans="1:3" x14ac:dyDescent="0.3">
      <c r="A66" s="3">
        <v>41213</v>
      </c>
      <c r="C66">
        <v>111.5825</v>
      </c>
    </row>
    <row r="67" spans="1:3" x14ac:dyDescent="0.3">
      <c r="A67" s="3">
        <v>41243</v>
      </c>
      <c r="C67">
        <v>109.328</v>
      </c>
    </row>
    <row r="68" spans="1:3" x14ac:dyDescent="0.3">
      <c r="A68" s="3">
        <v>41274</v>
      </c>
      <c r="C68">
        <v>108.94</v>
      </c>
    </row>
    <row r="69" spans="1:3" x14ac:dyDescent="0.3">
      <c r="A69" s="3">
        <v>41305</v>
      </c>
      <c r="C69">
        <v>111.78</v>
      </c>
    </row>
    <row r="70" spans="1:3" x14ac:dyDescent="0.3">
      <c r="A70" s="3">
        <v>41333</v>
      </c>
      <c r="C70">
        <v>116.85500000000002</v>
      </c>
    </row>
    <row r="71" spans="1:3" x14ac:dyDescent="0.3">
      <c r="A71" s="3">
        <v>41364</v>
      </c>
      <c r="C71">
        <v>109.75</v>
      </c>
    </row>
    <row r="72" spans="1:3" x14ac:dyDescent="0.3">
      <c r="A72" s="3">
        <v>41394</v>
      </c>
      <c r="C72">
        <v>102.50999999999999</v>
      </c>
    </row>
    <row r="73" spans="1:3" x14ac:dyDescent="0.3">
      <c r="A73" s="3">
        <v>41425</v>
      </c>
      <c r="C73">
        <v>103.154</v>
      </c>
    </row>
    <row r="74" spans="1:3" x14ac:dyDescent="0.3">
      <c r="A74" s="3">
        <v>41455</v>
      </c>
      <c r="C74">
        <v>103.38999999999999</v>
      </c>
    </row>
    <row r="75" spans="1:3" x14ac:dyDescent="0.3">
      <c r="A75" s="3">
        <v>41486</v>
      </c>
      <c r="C75">
        <v>107.94250000000001</v>
      </c>
    </row>
    <row r="76" spans="1:3" x14ac:dyDescent="0.3">
      <c r="A76" s="3">
        <v>41517</v>
      </c>
      <c r="C76">
        <v>110.52400000000003</v>
      </c>
    </row>
    <row r="77" spans="1:3" x14ac:dyDescent="0.3">
      <c r="A77" s="3">
        <v>41547</v>
      </c>
      <c r="C77">
        <v>111.6875</v>
      </c>
    </row>
    <row r="78" spans="1:3" x14ac:dyDescent="0.3">
      <c r="A78" s="3">
        <v>41578</v>
      </c>
      <c r="C78">
        <v>109.4025</v>
      </c>
    </row>
    <row r="79" spans="1:3" x14ac:dyDescent="0.3">
      <c r="A79" s="3">
        <v>41608</v>
      </c>
      <c r="C79">
        <v>108.054</v>
      </c>
    </row>
    <row r="80" spans="1:3" x14ac:dyDescent="0.3">
      <c r="A80" s="3">
        <v>41639</v>
      </c>
      <c r="C80">
        <v>111.0975</v>
      </c>
    </row>
    <row r="81" spans="1:3" x14ac:dyDescent="0.3">
      <c r="A81" s="3">
        <v>41670</v>
      </c>
      <c r="C81">
        <v>106.97999999999999</v>
      </c>
    </row>
    <row r="82" spans="1:3" x14ac:dyDescent="0.3">
      <c r="A82" s="3">
        <v>41698</v>
      </c>
      <c r="C82">
        <v>109.3925</v>
      </c>
    </row>
    <row r="83" spans="1:3" x14ac:dyDescent="0.3">
      <c r="A83" s="3">
        <v>41729</v>
      </c>
      <c r="C83">
        <v>108.14</v>
      </c>
    </row>
    <row r="84" spans="1:3" x14ac:dyDescent="0.3">
      <c r="A84" s="3">
        <v>41759</v>
      </c>
      <c r="C84">
        <v>108.29</v>
      </c>
    </row>
    <row r="85" spans="1:3" x14ac:dyDescent="0.3">
      <c r="A85" s="3">
        <v>41790</v>
      </c>
      <c r="C85">
        <v>109.23600000000002</v>
      </c>
    </row>
    <row r="86" spans="1:3" x14ac:dyDescent="0.3">
      <c r="A86" s="3">
        <v>41820</v>
      </c>
      <c r="C86">
        <v>112.5325</v>
      </c>
    </row>
    <row r="87" spans="1:3" x14ac:dyDescent="0.3">
      <c r="A87" s="3">
        <v>41851</v>
      </c>
      <c r="C87">
        <v>108.32249999999999</v>
      </c>
    </row>
    <row r="88" spans="1:3" x14ac:dyDescent="0.3">
      <c r="A88" s="3">
        <v>41882</v>
      </c>
      <c r="C88">
        <v>103.774</v>
      </c>
    </row>
    <row r="89" spans="1:3" x14ac:dyDescent="0.3">
      <c r="A89" s="3">
        <v>41912</v>
      </c>
      <c r="C89">
        <v>98.33</v>
      </c>
    </row>
    <row r="90" spans="1:3" x14ac:dyDescent="0.3">
      <c r="A90" s="3">
        <v>41943</v>
      </c>
      <c r="C90">
        <v>88.133999999999986</v>
      </c>
    </row>
    <row r="91" spans="1:3" x14ac:dyDescent="0.3">
      <c r="A91" s="3">
        <v>41973</v>
      </c>
      <c r="C91">
        <v>78.327500000000015</v>
      </c>
    </row>
    <row r="92" spans="1:3" x14ac:dyDescent="0.3">
      <c r="A92" s="3">
        <v>42004</v>
      </c>
      <c r="C92">
        <v>62.9375</v>
      </c>
    </row>
    <row r="93" spans="1:3" x14ac:dyDescent="0.3">
      <c r="A93" s="3">
        <v>42035</v>
      </c>
      <c r="C93">
        <v>51.695999999999991</v>
      </c>
    </row>
    <row r="94" spans="1:3" x14ac:dyDescent="0.3">
      <c r="A94" s="3">
        <v>42063</v>
      </c>
      <c r="C94">
        <v>60.53</v>
      </c>
    </row>
    <row r="95" spans="1:3" x14ac:dyDescent="0.3">
      <c r="A95" s="3">
        <v>42094</v>
      </c>
      <c r="C95">
        <v>56.532499999999999</v>
      </c>
    </row>
    <row r="96" spans="1:3" x14ac:dyDescent="0.3">
      <c r="A96" s="3">
        <v>42124</v>
      </c>
      <c r="C96">
        <v>60.387499999999996</v>
      </c>
    </row>
    <row r="97" spans="1:3" x14ac:dyDescent="0.3">
      <c r="A97" s="3">
        <v>42155</v>
      </c>
      <c r="C97">
        <v>65.917999999999992</v>
      </c>
    </row>
    <row r="98" spans="1:3" x14ac:dyDescent="0.3">
      <c r="A98" s="3">
        <v>42185</v>
      </c>
      <c r="C98">
        <v>63.365000000000002</v>
      </c>
    </row>
    <row r="99" spans="1:3" x14ac:dyDescent="0.3">
      <c r="A99" s="3">
        <v>42216</v>
      </c>
      <c r="C99">
        <v>56.946000000000005</v>
      </c>
    </row>
    <row r="100" spans="1:3" x14ac:dyDescent="0.3">
      <c r="A100" s="3">
        <v>42247</v>
      </c>
      <c r="C100">
        <v>48.287499999999994</v>
      </c>
    </row>
    <row r="101" spans="1:3" x14ac:dyDescent="0.3">
      <c r="A101" s="3">
        <v>42277</v>
      </c>
      <c r="C101">
        <v>48.454999999999998</v>
      </c>
    </row>
    <row r="102" spans="1:3" x14ac:dyDescent="0.3">
      <c r="A102" s="3">
        <v>42308</v>
      </c>
      <c r="C102">
        <v>49.758000000000003</v>
      </c>
    </row>
    <row r="103" spans="1:3" x14ac:dyDescent="0.3">
      <c r="A103" s="3">
        <v>42338</v>
      </c>
      <c r="C103">
        <v>45.137500000000003</v>
      </c>
    </row>
    <row r="104" spans="1:3" x14ac:dyDescent="0.3">
      <c r="A104" s="3">
        <v>42369</v>
      </c>
      <c r="C104">
        <v>38.924999999999997</v>
      </c>
    </row>
    <row r="105" spans="1:3" x14ac:dyDescent="0.3">
      <c r="A105" s="3">
        <v>42400</v>
      </c>
      <c r="C105">
        <v>33.338000000000001</v>
      </c>
    </row>
    <row r="106" spans="1:3" x14ac:dyDescent="0.3">
      <c r="A106" s="3">
        <v>42429</v>
      </c>
      <c r="C106">
        <v>33.8825</v>
      </c>
    </row>
    <row r="107" spans="1:3" x14ac:dyDescent="0.3">
      <c r="A107" s="3">
        <v>42460</v>
      </c>
      <c r="C107">
        <v>40.1875</v>
      </c>
    </row>
    <row r="108" spans="1:3" x14ac:dyDescent="0.3">
      <c r="A108" s="3">
        <v>42490</v>
      </c>
      <c r="C108">
        <v>43.39</v>
      </c>
    </row>
    <row r="109" spans="1:3" x14ac:dyDescent="0.3">
      <c r="A109" s="3">
        <v>42521</v>
      </c>
      <c r="C109">
        <v>47.809999999999995</v>
      </c>
    </row>
    <row r="110" spans="1:3" x14ac:dyDescent="0.3">
      <c r="A110" s="3">
        <v>42551</v>
      </c>
      <c r="C110">
        <v>49.440000000000005</v>
      </c>
    </row>
    <row r="111" spans="1:3" x14ac:dyDescent="0.3">
      <c r="A111" s="3">
        <v>42582</v>
      </c>
      <c r="C111">
        <v>46.573999999999998</v>
      </c>
    </row>
    <row r="112" spans="1:3" x14ac:dyDescent="0.3">
      <c r="A112" s="3">
        <v>42613</v>
      </c>
      <c r="C112">
        <v>48.010000000000005</v>
      </c>
    </row>
    <row r="113" spans="1:3" x14ac:dyDescent="0.3">
      <c r="A113" s="3">
        <v>42643</v>
      </c>
      <c r="C113">
        <v>47.112000000000002</v>
      </c>
    </row>
    <row r="114" spans="1:3" x14ac:dyDescent="0.3">
      <c r="A114" s="3">
        <v>42674</v>
      </c>
      <c r="C114">
        <v>51.342500000000001</v>
      </c>
    </row>
    <row r="115" spans="1:3" x14ac:dyDescent="0.3">
      <c r="A115" s="3">
        <v>42704</v>
      </c>
      <c r="C115">
        <v>46.107500000000002</v>
      </c>
    </row>
    <row r="116" spans="1:3" x14ac:dyDescent="0.3">
      <c r="A116" s="3">
        <v>42735</v>
      </c>
      <c r="C116">
        <v>55.196000000000005</v>
      </c>
    </row>
    <row r="117" spans="1:3" x14ac:dyDescent="0.3">
      <c r="A117" s="3">
        <v>42766</v>
      </c>
      <c r="C117">
        <v>55.890000000000008</v>
      </c>
    </row>
    <row r="118" spans="1:3" x14ac:dyDescent="0.3">
      <c r="A118" s="3">
        <v>42794</v>
      </c>
      <c r="C118">
        <v>56.327500000000001</v>
      </c>
    </row>
    <row r="119" spans="1:3" x14ac:dyDescent="0.3">
      <c r="A119" s="3">
        <v>42825</v>
      </c>
      <c r="C119">
        <v>52.531999999999996</v>
      </c>
    </row>
    <row r="120" spans="1:3" x14ac:dyDescent="0.3">
      <c r="A120" s="3">
        <v>42855</v>
      </c>
      <c r="C120">
        <v>53.704999999999998</v>
      </c>
    </row>
    <row r="121" spans="1:3" x14ac:dyDescent="0.3">
      <c r="A121" s="3">
        <v>42886</v>
      </c>
      <c r="C121">
        <v>51.425000000000004</v>
      </c>
    </row>
    <row r="122" spans="1:3" x14ac:dyDescent="0.3">
      <c r="A122" s="3">
        <v>42916</v>
      </c>
      <c r="C122">
        <v>47.786000000000001</v>
      </c>
    </row>
    <row r="123" spans="1:3" x14ac:dyDescent="0.3">
      <c r="A123" s="3">
        <v>42947</v>
      </c>
      <c r="C123">
        <v>49.050000000000004</v>
      </c>
    </row>
    <row r="124" spans="1:3" x14ac:dyDescent="0.3">
      <c r="A124" s="3">
        <v>42978</v>
      </c>
      <c r="C124">
        <v>52.412500000000001</v>
      </c>
    </row>
    <row r="125" spans="1:3" x14ac:dyDescent="0.3">
      <c r="A125" s="3">
        <v>43008</v>
      </c>
      <c r="C125">
        <v>55.283999999999992</v>
      </c>
    </row>
    <row r="126" spans="1:3" x14ac:dyDescent="0.3">
      <c r="A126" s="3">
        <v>43039</v>
      </c>
      <c r="C126">
        <v>57.744999999999997</v>
      </c>
    </row>
    <row r="127" spans="1:3" x14ac:dyDescent="0.3">
      <c r="A127" s="3">
        <v>43069</v>
      </c>
      <c r="C127">
        <v>63.042500000000004</v>
      </c>
    </row>
    <row r="128" spans="1:3" x14ac:dyDescent="0.3">
      <c r="A128" s="3">
        <v>43100</v>
      </c>
      <c r="C128">
        <v>64.496000000000009</v>
      </c>
    </row>
    <row r="129" spans="1:3" x14ac:dyDescent="0.3">
      <c r="A129" s="3">
        <v>43131</v>
      </c>
      <c r="C129">
        <v>69.155000000000001</v>
      </c>
    </row>
    <row r="130" spans="1:3" x14ac:dyDescent="0.3">
      <c r="A130" s="3">
        <v>43159</v>
      </c>
      <c r="C130">
        <v>65.88</v>
      </c>
    </row>
    <row r="131" spans="1:3" x14ac:dyDescent="0.3">
      <c r="A131" s="3">
        <v>43190</v>
      </c>
      <c r="C131">
        <v>67.35799999999999</v>
      </c>
    </row>
    <row r="132" spans="1:3" x14ac:dyDescent="0.3">
      <c r="A132" s="3">
        <v>43220</v>
      </c>
      <c r="C132">
        <v>72.097499999999997</v>
      </c>
    </row>
    <row r="133" spans="1:3" x14ac:dyDescent="0.3">
      <c r="A133" s="3">
        <v>43251</v>
      </c>
      <c r="C133">
        <v>76.734999999999999</v>
      </c>
    </row>
    <row r="134" spans="1:3" x14ac:dyDescent="0.3">
      <c r="A134" s="3">
        <v>43281</v>
      </c>
      <c r="C134">
        <v>76.335999999999999</v>
      </c>
    </row>
    <row r="135" spans="1:3" x14ac:dyDescent="0.3">
      <c r="A135" s="3">
        <v>43312</v>
      </c>
      <c r="B135">
        <v>536.40750000000003</v>
      </c>
      <c r="C135">
        <v>74.95</v>
      </c>
    </row>
    <row r="136" spans="1:3" x14ac:dyDescent="0.3">
      <c r="A136" s="3">
        <v>43343</v>
      </c>
      <c r="B136">
        <v>534.63200000000006</v>
      </c>
      <c r="C136">
        <v>74.217999999999989</v>
      </c>
    </row>
    <row r="137" spans="1:3" x14ac:dyDescent="0.3">
      <c r="A137" s="3">
        <v>43373</v>
      </c>
      <c r="B137">
        <v>556.38499999999999</v>
      </c>
      <c r="C137">
        <v>79.110000000000014</v>
      </c>
    </row>
    <row r="138" spans="1:3" x14ac:dyDescent="0.3">
      <c r="A138" s="3">
        <v>43404</v>
      </c>
      <c r="B138">
        <v>584.66249999999991</v>
      </c>
      <c r="C138">
        <v>80.497500000000002</v>
      </c>
    </row>
    <row r="139" spans="1:3" x14ac:dyDescent="0.3">
      <c r="A139" s="3">
        <v>43434</v>
      </c>
      <c r="B139">
        <v>497.12399999999997</v>
      </c>
      <c r="C139">
        <v>65.455999999999989</v>
      </c>
    </row>
    <row r="140" spans="1:3" x14ac:dyDescent="0.3">
      <c r="A140" s="3">
        <v>43465</v>
      </c>
      <c r="B140">
        <v>426.30250000000001</v>
      </c>
      <c r="C140">
        <v>56.992500000000007</v>
      </c>
    </row>
    <row r="141" spans="1:3" x14ac:dyDescent="0.3">
      <c r="A141" s="3">
        <v>43496</v>
      </c>
      <c r="B141">
        <v>451.64750000000004</v>
      </c>
      <c r="C141">
        <v>60.47</v>
      </c>
    </row>
    <row r="142" spans="1:3" x14ac:dyDescent="0.3">
      <c r="A142" s="3">
        <v>43524</v>
      </c>
      <c r="B142">
        <v>485.96749999999997</v>
      </c>
      <c r="C142">
        <v>64.555000000000007</v>
      </c>
    </row>
    <row r="143" spans="1:3" x14ac:dyDescent="0.3">
      <c r="A143" s="3">
        <v>43555</v>
      </c>
      <c r="B143">
        <v>496.51800000000003</v>
      </c>
      <c r="C143">
        <v>66.677999999999997</v>
      </c>
    </row>
    <row r="144" spans="1:3" x14ac:dyDescent="0.3">
      <c r="A144" s="3">
        <v>43585</v>
      </c>
      <c r="B144">
        <v>515.23</v>
      </c>
      <c r="C144">
        <v>71.502499999999998</v>
      </c>
    </row>
    <row r="145" spans="1:3" x14ac:dyDescent="0.3">
      <c r="A145" s="3">
        <v>43616</v>
      </c>
      <c r="B145">
        <v>507.904</v>
      </c>
      <c r="C145">
        <v>69.372</v>
      </c>
    </row>
    <row r="146" spans="1:3" x14ac:dyDescent="0.3">
      <c r="A146" s="3">
        <v>43646</v>
      </c>
      <c r="B146">
        <v>480.36500000000001</v>
      </c>
      <c r="C146">
        <v>64.262500000000003</v>
      </c>
    </row>
    <row r="147" spans="1:3" x14ac:dyDescent="0.3">
      <c r="A147" s="3">
        <v>43677</v>
      </c>
      <c r="B147">
        <v>489.84250000000003</v>
      </c>
      <c r="C147">
        <v>64.22</v>
      </c>
    </row>
    <row r="148" spans="1:3" x14ac:dyDescent="0.3">
      <c r="A148" s="3">
        <v>43708</v>
      </c>
      <c r="B148">
        <v>455.56400000000002</v>
      </c>
      <c r="C148">
        <v>59.765999999999998</v>
      </c>
    </row>
    <row r="149" spans="1:3" x14ac:dyDescent="0.3">
      <c r="A149" s="3">
        <v>43738</v>
      </c>
      <c r="B149">
        <v>466.37749999999994</v>
      </c>
      <c r="C149">
        <v>61.987499999999997</v>
      </c>
    </row>
    <row r="150" spans="1:3" x14ac:dyDescent="0.3">
      <c r="A150" s="3">
        <v>43769</v>
      </c>
      <c r="B150">
        <v>468.10499999999996</v>
      </c>
      <c r="C150">
        <v>60.080000000000005</v>
      </c>
    </row>
    <row r="151" spans="1:3" x14ac:dyDescent="0.3">
      <c r="A151" s="3">
        <v>43799</v>
      </c>
      <c r="B151">
        <v>475.19800000000004</v>
      </c>
      <c r="C151">
        <v>62.672000000000004</v>
      </c>
    </row>
    <row r="152" spans="1:3" x14ac:dyDescent="0.3">
      <c r="A152" s="3">
        <v>43830</v>
      </c>
      <c r="B152">
        <v>514.59249999999997</v>
      </c>
      <c r="C152">
        <v>65.977499999999992</v>
      </c>
    </row>
    <row r="153" spans="1:3" x14ac:dyDescent="0.3">
      <c r="A153" s="3">
        <v>43861</v>
      </c>
      <c r="B153">
        <v>506.18399999999991</v>
      </c>
      <c r="C153">
        <v>63.455999999999996</v>
      </c>
    </row>
    <row r="154" spans="1:3" x14ac:dyDescent="0.3">
      <c r="A154" s="3">
        <v>43890</v>
      </c>
      <c r="B154">
        <v>421.16750000000002</v>
      </c>
      <c r="C154">
        <v>55.202500000000001</v>
      </c>
    </row>
    <row r="155" spans="1:3" x14ac:dyDescent="0.3">
      <c r="A155" s="3">
        <v>43921</v>
      </c>
      <c r="B155">
        <v>258.60000000000002</v>
      </c>
      <c r="C155">
        <v>32.7575</v>
      </c>
    </row>
    <row r="156" spans="1:3" x14ac:dyDescent="0.3">
      <c r="A156" s="3">
        <v>43951</v>
      </c>
      <c r="B156">
        <v>219.68499999999997</v>
      </c>
      <c r="C156">
        <v>28.7775</v>
      </c>
    </row>
    <row r="157" spans="1:3" x14ac:dyDescent="0.3">
      <c r="A157" s="3">
        <v>43982</v>
      </c>
      <c r="B157">
        <v>224.75200000000001</v>
      </c>
      <c r="C157">
        <v>32.073999999999998</v>
      </c>
    </row>
    <row r="158" spans="1:3" x14ac:dyDescent="0.3">
      <c r="A158" s="3">
        <v>44012</v>
      </c>
      <c r="B158">
        <v>278.065</v>
      </c>
      <c r="C158">
        <v>41.06</v>
      </c>
    </row>
    <row r="159" spans="1:3" x14ac:dyDescent="0.3">
      <c r="A159" s="3">
        <v>44043</v>
      </c>
      <c r="B159">
        <v>303.18400000000003</v>
      </c>
      <c r="C159">
        <v>43.231999999999992</v>
      </c>
    </row>
    <row r="160" spans="1:3" x14ac:dyDescent="0.3">
      <c r="A160" s="3">
        <v>44074</v>
      </c>
      <c r="B160">
        <v>307.63499999999999</v>
      </c>
      <c r="C160">
        <v>44.649999999999991</v>
      </c>
    </row>
    <row r="161" spans="1:3" x14ac:dyDescent="0.3">
      <c r="A161" s="3">
        <v>44104</v>
      </c>
      <c r="B161">
        <v>287.58500000000004</v>
      </c>
      <c r="C161">
        <v>41.89</v>
      </c>
    </row>
    <row r="162" spans="1:3" x14ac:dyDescent="0.3">
      <c r="A162" s="3">
        <v>44135</v>
      </c>
      <c r="B162">
        <v>292.66399999999999</v>
      </c>
      <c r="C162">
        <v>40.856000000000009</v>
      </c>
    </row>
    <row r="163" spans="1:3" x14ac:dyDescent="0.3">
      <c r="A163" s="3">
        <v>44165</v>
      </c>
      <c r="B163">
        <v>318.21749999999997</v>
      </c>
      <c r="C163">
        <v>43.842500000000001</v>
      </c>
    </row>
    <row r="164" spans="1:3" x14ac:dyDescent="0.3">
      <c r="A164" s="3">
        <v>44196</v>
      </c>
      <c r="B164">
        <v>363.89249999999998</v>
      </c>
      <c r="C164">
        <v>50.692499999999995</v>
      </c>
    </row>
    <row r="165" spans="1:3" x14ac:dyDescent="0.3">
      <c r="A165" s="3">
        <v>44227</v>
      </c>
      <c r="B165">
        <v>395.30399999999997</v>
      </c>
      <c r="C165">
        <v>54.835999999999999</v>
      </c>
    </row>
    <row r="166" spans="1:3" x14ac:dyDescent="0.3">
      <c r="A166" s="3">
        <v>44255</v>
      </c>
      <c r="B166">
        <v>456.15750000000003</v>
      </c>
      <c r="C166">
        <v>62.702500000000001</v>
      </c>
    </row>
    <row r="167" spans="1:3" x14ac:dyDescent="0.3">
      <c r="A167" s="3">
        <v>44286</v>
      </c>
      <c r="B167">
        <v>473.22749999999996</v>
      </c>
      <c r="C167">
        <v>66.919999999999987</v>
      </c>
    </row>
    <row r="168" spans="1:3" x14ac:dyDescent="0.3">
      <c r="A168" s="3">
        <v>44316</v>
      </c>
      <c r="B168">
        <v>458.65800000000002</v>
      </c>
      <c r="C168">
        <v>65.587999999999994</v>
      </c>
    </row>
    <row r="169" spans="1:3" x14ac:dyDescent="0.3">
      <c r="A169" s="3">
        <v>44347</v>
      </c>
      <c r="B169">
        <v>469.65250000000003</v>
      </c>
      <c r="C169">
        <v>68.265000000000001</v>
      </c>
    </row>
    <row r="170" spans="1:3" x14ac:dyDescent="0.3">
      <c r="A170" s="3">
        <v>44377</v>
      </c>
      <c r="B170">
        <v>504.29750000000001</v>
      </c>
      <c r="C170">
        <v>73.567499999999995</v>
      </c>
    </row>
    <row r="171" spans="1:3" x14ac:dyDescent="0.3">
      <c r="A171" s="3">
        <v>44408</v>
      </c>
      <c r="B171">
        <v>516.52600000000007</v>
      </c>
      <c r="C171">
        <v>75.147999999999996</v>
      </c>
    </row>
    <row r="172" spans="1:3" x14ac:dyDescent="0.3">
      <c r="A172" s="3">
        <v>44439</v>
      </c>
      <c r="B172">
        <v>480.90999999999997</v>
      </c>
      <c r="C172">
        <v>69.792500000000004</v>
      </c>
    </row>
    <row r="173" spans="1:3" x14ac:dyDescent="0.3">
      <c r="A173" s="3">
        <v>44469</v>
      </c>
      <c r="B173">
        <v>511.43499999999995</v>
      </c>
      <c r="C173">
        <v>74.740000000000009</v>
      </c>
    </row>
    <row r="174" spans="1:3" x14ac:dyDescent="0.3">
      <c r="A174" s="3">
        <v>44500</v>
      </c>
      <c r="B174">
        <v>565.36799999999994</v>
      </c>
      <c r="C174">
        <v>83.288000000000011</v>
      </c>
    </row>
    <row r="175" spans="1:3" x14ac:dyDescent="0.3">
      <c r="A175" s="3">
        <v>44530</v>
      </c>
      <c r="B175">
        <v>540.59249999999997</v>
      </c>
      <c r="C175">
        <v>79.13</v>
      </c>
    </row>
    <row r="176" spans="1:3" x14ac:dyDescent="0.3">
      <c r="A176" s="3">
        <v>44561</v>
      </c>
      <c r="B176">
        <v>519.98800000000006</v>
      </c>
      <c r="C176">
        <v>74.635999999999996</v>
      </c>
    </row>
    <row r="177" spans="1:3" x14ac:dyDescent="0.3">
      <c r="A177" s="3">
        <v>44592</v>
      </c>
      <c r="B177">
        <v>596.9375</v>
      </c>
      <c r="C177">
        <v>86.432500000000005</v>
      </c>
    </row>
    <row r="178" spans="1:3" x14ac:dyDescent="0.3">
      <c r="A178" s="3">
        <v>44620</v>
      </c>
      <c r="B178">
        <v>658.24250000000006</v>
      </c>
      <c r="C178">
        <v>94.795000000000002</v>
      </c>
    </row>
    <row r="179" spans="1:3" x14ac:dyDescent="0.3">
      <c r="A179" s="3">
        <v>44651</v>
      </c>
      <c r="B179">
        <v>791.4325</v>
      </c>
      <c r="C179">
        <v>114.84</v>
      </c>
    </row>
    <row r="180" spans="1:3" x14ac:dyDescent="0.3">
      <c r="A180" s="3">
        <v>44681</v>
      </c>
      <c r="B180">
        <v>740.78800000000001</v>
      </c>
      <c r="C180">
        <v>106.97200000000001</v>
      </c>
    </row>
    <row r="181" spans="1:3" x14ac:dyDescent="0.3">
      <c r="A181" s="3">
        <v>44712</v>
      </c>
      <c r="B181">
        <v>779.58</v>
      </c>
      <c r="C181">
        <v>113.98</v>
      </c>
    </row>
    <row r="182" spans="1:3" x14ac:dyDescent="0.3">
      <c r="A182" s="3">
        <v>44742</v>
      </c>
      <c r="B182">
        <v>829.05000000000007</v>
      </c>
      <c r="C182">
        <v>116.99250000000001</v>
      </c>
    </row>
    <row r="183" spans="1:3" x14ac:dyDescent="0.3">
      <c r="A183" s="3">
        <v>44773</v>
      </c>
      <c r="B183">
        <v>720.85799999999995</v>
      </c>
      <c r="C183">
        <v>106.604</v>
      </c>
    </row>
    <row r="184" spans="1:3" x14ac:dyDescent="0.3">
      <c r="A184" s="3">
        <v>44804</v>
      </c>
      <c r="B184">
        <v>653.76750000000004</v>
      </c>
      <c r="C184">
        <v>97.694999999999993</v>
      </c>
    </row>
    <row r="185" spans="1:3" x14ac:dyDescent="0.3">
      <c r="A185" s="3">
        <v>44834</v>
      </c>
      <c r="B185">
        <v>596.35599999999999</v>
      </c>
      <c r="C185">
        <v>90.263999999999996</v>
      </c>
    </row>
    <row r="186" spans="1:3" x14ac:dyDescent="0.3">
      <c r="A186" s="3">
        <v>44865</v>
      </c>
      <c r="B186">
        <v>611.70749999999998</v>
      </c>
      <c r="C186">
        <v>94.704999999999998</v>
      </c>
    </row>
    <row r="187" spans="1:3" x14ac:dyDescent="0.3">
      <c r="A187" s="3">
        <v>44895</v>
      </c>
      <c r="B187">
        <v>563.98</v>
      </c>
      <c r="C187">
        <v>91.452500000000001</v>
      </c>
    </row>
    <row r="188" spans="1:3" x14ac:dyDescent="0.3">
      <c r="A188" s="3">
        <v>44926</v>
      </c>
      <c r="B188">
        <v>502.95</v>
      </c>
      <c r="C188">
        <v>82.10799999999999</v>
      </c>
    </row>
    <row r="189" spans="1:3" x14ac:dyDescent="0.3">
      <c r="A189" s="3">
        <v>44957</v>
      </c>
      <c r="B189">
        <v>538.4</v>
      </c>
      <c r="C189">
        <v>84.534999999999997</v>
      </c>
    </row>
    <row r="190" spans="1:3" x14ac:dyDescent="0.3">
      <c r="A190" s="3">
        <v>44985</v>
      </c>
      <c r="B190">
        <v>534.17750000000001</v>
      </c>
      <c r="C190">
        <v>83.122500000000002</v>
      </c>
    </row>
    <row r="191" spans="1:3" x14ac:dyDescent="0.3">
      <c r="A191" s="3">
        <v>45016</v>
      </c>
      <c r="B191">
        <v>513.548</v>
      </c>
      <c r="C191">
        <v>79.268000000000001</v>
      </c>
    </row>
    <row r="192" spans="1:3" x14ac:dyDescent="0.3">
      <c r="A192" s="3">
        <v>45046</v>
      </c>
      <c r="B192">
        <v>533.38000000000011</v>
      </c>
      <c r="C192">
        <v>83.157499999999999</v>
      </c>
    </row>
    <row r="193" spans="1:3" x14ac:dyDescent="0.3">
      <c r="A193" s="3">
        <v>45077</v>
      </c>
      <c r="B193">
        <v>488.13750000000005</v>
      </c>
      <c r="C193">
        <v>75.5</v>
      </c>
    </row>
    <row r="194" spans="1:3" x14ac:dyDescent="0.3">
      <c r="A194" s="3">
        <v>45107</v>
      </c>
      <c r="B194">
        <v>502.49399999999997</v>
      </c>
      <c r="C194">
        <v>75.256</v>
      </c>
    </row>
    <row r="195" spans="1:3" x14ac:dyDescent="0.3">
      <c r="A195" s="3">
        <v>45138</v>
      </c>
      <c r="B195">
        <v>529.44749999999999</v>
      </c>
      <c r="C195">
        <v>81.099999999999994</v>
      </c>
    </row>
    <row r="196" spans="1:3" x14ac:dyDescent="0.3">
      <c r="A196" s="3">
        <v>45169</v>
      </c>
      <c r="B196">
        <v>571.76250000000005</v>
      </c>
      <c r="C196">
        <v>85.58250000000001</v>
      </c>
    </row>
    <row r="197" spans="1:3" x14ac:dyDescent="0.3">
      <c r="A197" s="3">
        <v>45199</v>
      </c>
      <c r="B197">
        <v>590.72799999999995</v>
      </c>
      <c r="C197">
        <v>92.341999999999999</v>
      </c>
    </row>
    <row r="198" spans="1:3" x14ac:dyDescent="0.3">
      <c r="A198" s="3">
        <v>45230</v>
      </c>
      <c r="B198">
        <v>571.15750000000003</v>
      </c>
      <c r="C198">
        <v>89.527500000000003</v>
      </c>
    </row>
    <row r="199" spans="1:3" x14ac:dyDescent="0.3">
      <c r="A199" s="3">
        <v>45260</v>
      </c>
      <c r="B199">
        <v>540.5474999999999</v>
      </c>
      <c r="C199">
        <v>81.877499999999998</v>
      </c>
    </row>
    <row r="200" spans="1:3" x14ac:dyDescent="0.3">
      <c r="A200" s="3">
        <v>45291</v>
      </c>
      <c r="B200">
        <v>520.84799999999996</v>
      </c>
      <c r="C200">
        <v>77.475999999999999</v>
      </c>
    </row>
    <row r="201" spans="1:3" x14ac:dyDescent="0.3">
      <c r="A201" s="3">
        <v>45322</v>
      </c>
      <c r="B201">
        <v>534.32249999999999</v>
      </c>
      <c r="C201">
        <v>79.790000000000006</v>
      </c>
    </row>
    <row r="202" spans="1:3" x14ac:dyDescent="0.3">
      <c r="A202" s="3">
        <v>45351</v>
      </c>
      <c r="B202">
        <v>548.745</v>
      </c>
      <c r="C202">
        <v>81.152500000000003</v>
      </c>
    </row>
    <row r="203" spans="1:3" x14ac:dyDescent="0.3">
      <c r="A203" s="3">
        <v>45382</v>
      </c>
      <c r="B203">
        <v>573.97</v>
      </c>
      <c r="C203">
        <v>84.775999999999996</v>
      </c>
    </row>
    <row r="204" spans="1:3" x14ac:dyDescent="0.3">
      <c r="A204" s="3">
        <v>45412</v>
      </c>
      <c r="B204">
        <v>592.48</v>
      </c>
      <c r="C204">
        <v>89.602500000000006</v>
      </c>
    </row>
    <row r="205" spans="1:3" x14ac:dyDescent="0.3">
      <c r="A205" s="3">
        <v>45443</v>
      </c>
      <c r="B205">
        <v>542.73400000000004</v>
      </c>
      <c r="C205">
        <v>82.694000000000003</v>
      </c>
    </row>
    <row r="206" spans="1:3" x14ac:dyDescent="0.3">
      <c r="A206" s="3">
        <v>45473</v>
      </c>
      <c r="B206">
        <v>542.56000000000006</v>
      </c>
      <c r="C206">
        <v>83.472499999999997</v>
      </c>
    </row>
    <row r="207" spans="1:3" x14ac:dyDescent="0.3">
      <c r="A207" s="3">
        <v>45504</v>
      </c>
      <c r="B207">
        <v>547.67250000000001</v>
      </c>
      <c r="C207">
        <v>83.832499999999996</v>
      </c>
    </row>
    <row r="208" spans="1:3" x14ac:dyDescent="0.3">
      <c r="A208" s="3">
        <v>45535</v>
      </c>
      <c r="B208">
        <v>521.60600000000011</v>
      </c>
      <c r="C208">
        <v>78.794000000000011</v>
      </c>
    </row>
    <row r="209" spans="1:3" x14ac:dyDescent="0.3">
      <c r="A209" s="3">
        <v>45565</v>
      </c>
      <c r="B209">
        <v>486.39249999999993</v>
      </c>
      <c r="C209">
        <v>72.285000000000011</v>
      </c>
    </row>
    <row r="210" spans="1:3" x14ac:dyDescent="0.3">
      <c r="A210" s="3">
        <v>45596</v>
      </c>
      <c r="B210">
        <v>513.46749999999997</v>
      </c>
      <c r="C210">
        <v>76.55</v>
      </c>
    </row>
    <row r="211" spans="1:3" x14ac:dyDescent="0.3">
      <c r="A211" s="3">
        <v>45626</v>
      </c>
      <c r="B211">
        <v>490.34199999999998</v>
      </c>
      <c r="C211">
        <v>73.224000000000004</v>
      </c>
    </row>
    <row r="212" spans="1:3" x14ac:dyDescent="0.3">
      <c r="A212" s="3">
        <v>45657</v>
      </c>
      <c r="B212">
        <v>505.13249999999999</v>
      </c>
      <c r="C212">
        <v>73.180000000000007</v>
      </c>
    </row>
    <row r="213" spans="1:3" x14ac:dyDescent="0.3">
      <c r="A213" s="3">
        <v>45688</v>
      </c>
      <c r="B213">
        <v>524.976</v>
      </c>
      <c r="C213">
        <v>78.463999999999999</v>
      </c>
    </row>
    <row r="214" spans="1:3" x14ac:dyDescent="0.3">
      <c r="A214" s="3">
        <v>45716</v>
      </c>
      <c r="B214">
        <v>502.67249999999996</v>
      </c>
      <c r="C214">
        <v>74.252499999999998</v>
      </c>
    </row>
    <row r="215" spans="1:3" x14ac:dyDescent="0.3">
      <c r="A215" s="3">
        <v>45747</v>
      </c>
      <c r="B215">
        <v>468.57749999999999</v>
      </c>
      <c r="C215">
        <v>71.682500000000005</v>
      </c>
    </row>
    <row r="216" spans="1:3" x14ac:dyDescent="0.3">
      <c r="A216" s="3">
        <v>45777</v>
      </c>
      <c r="B216">
        <v>437.19749999999999</v>
      </c>
      <c r="C216">
        <v>66.292500000000004</v>
      </c>
    </row>
    <row r="217" spans="1:3" x14ac:dyDescent="0.3">
      <c r="A217" s="3">
        <v>45808</v>
      </c>
      <c r="B217">
        <v>438.07</v>
      </c>
      <c r="C217">
        <v>63.85799999999999</v>
      </c>
    </row>
    <row r="218" spans="1:3" x14ac:dyDescent="0.3">
      <c r="A218" s="3">
        <v>45838</v>
      </c>
      <c r="B218">
        <v>481.86999999999995</v>
      </c>
      <c r="C218">
        <v>71.36999999999999</v>
      </c>
    </row>
    <row r="219" spans="1:3" x14ac:dyDescent="0.3">
      <c r="A219" s="3">
        <v>45869</v>
      </c>
      <c r="B219">
        <v>468.49749999999995</v>
      </c>
      <c r="C219">
        <v>69.22</v>
      </c>
    </row>
    <row r="220" spans="1:3" x14ac:dyDescent="0.3">
      <c r="A220" s="3">
        <v>45900</v>
      </c>
      <c r="B220">
        <v>457.09000000000003</v>
      </c>
      <c r="C220">
        <v>67.591999999999999</v>
      </c>
    </row>
    <row r="221" spans="1:3" x14ac:dyDescent="0.3">
      <c r="A221" s="3">
        <v>45930</v>
      </c>
      <c r="B221">
        <v>435.1</v>
      </c>
      <c r="C221">
        <v>67.325000000000003</v>
      </c>
    </row>
    <row r="222" spans="1:3" x14ac:dyDescent="0.3">
      <c r="A222" s="3">
        <v>45961</v>
      </c>
      <c r="B222">
        <v>411.58199999999999</v>
      </c>
      <c r="C222">
        <v>63.911999999999992</v>
      </c>
    </row>
    <row r="223" spans="1:3" x14ac:dyDescent="0.3">
      <c r="A223" s="3">
        <v>45991</v>
      </c>
      <c r="B223">
        <v>402.58500000000004</v>
      </c>
      <c r="C223">
        <v>63.445000000000007</v>
      </c>
    </row>
    <row r="224" spans="1:3" x14ac:dyDescent="0.3">
      <c r="A224" s="3">
        <v>46022</v>
      </c>
      <c r="B224">
        <v>380.79749999999996</v>
      </c>
      <c r="C224">
        <v>61.495000000000005</v>
      </c>
    </row>
    <row r="225" spans="1:3" x14ac:dyDescent="0.3">
      <c r="A225" s="3">
        <v>46053</v>
      </c>
      <c r="B225">
        <v>392.19200000000001</v>
      </c>
      <c r="C225">
        <v>64.957999999999998</v>
      </c>
    </row>
    <row r="226" spans="1:3" x14ac:dyDescent="0.3">
      <c r="A226" s="3">
        <v>46081</v>
      </c>
      <c r="B226">
        <v>416.45</v>
      </c>
      <c r="C226">
        <v>68.116666666666674</v>
      </c>
    </row>
    <row r="227" spans="1:3" x14ac:dyDescent="0.3">
      <c r="A227" s="3" t="s">
        <v>5</v>
      </c>
      <c r="B227">
        <v>496.81699248120327</v>
      </c>
      <c r="C227">
        <v>78.144798761609849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88D6-0469-43C4-963C-866D089054E7}">
  <dimension ref="A1:E116"/>
  <sheetViews>
    <sheetView topLeftCell="A89" workbookViewId="0">
      <selection activeCell="C93" sqref="C93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0.109375" customWidth="1"/>
    <col min="4" max="4" width="23.109375" customWidth="1"/>
    <col min="5" max="5" width="23.33203125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s="1">
        <v>43312</v>
      </c>
      <c r="B2">
        <v>536.40750000000003</v>
      </c>
    </row>
    <row r="3" spans="1:5" x14ac:dyDescent="0.3">
      <c r="A3" s="1">
        <v>43343</v>
      </c>
      <c r="B3">
        <v>534.63200000000006</v>
      </c>
    </row>
    <row r="4" spans="1:5" x14ac:dyDescent="0.3">
      <c r="A4" s="1">
        <v>43373</v>
      </c>
      <c r="B4">
        <v>556.38499999999999</v>
      </c>
    </row>
    <row r="5" spans="1:5" x14ac:dyDescent="0.3">
      <c r="A5" s="1">
        <v>43404</v>
      </c>
      <c r="B5">
        <v>584.66249999999991</v>
      </c>
    </row>
    <row r="6" spans="1:5" x14ac:dyDescent="0.3">
      <c r="A6" s="1">
        <v>43434</v>
      </c>
      <c r="B6">
        <v>497.12399999999997</v>
      </c>
    </row>
    <row r="7" spans="1:5" x14ac:dyDescent="0.3">
      <c r="A7" s="1">
        <v>43465</v>
      </c>
      <c r="B7">
        <v>426.30250000000001</v>
      </c>
    </row>
    <row r="8" spans="1:5" x14ac:dyDescent="0.3">
      <c r="A8" s="1">
        <v>43496</v>
      </c>
      <c r="B8">
        <v>451.64750000000004</v>
      </c>
    </row>
    <row r="9" spans="1:5" x14ac:dyDescent="0.3">
      <c r="A9" s="1">
        <v>43524</v>
      </c>
      <c r="B9">
        <v>485.96749999999997</v>
      </c>
    </row>
    <row r="10" spans="1:5" x14ac:dyDescent="0.3">
      <c r="A10" s="1">
        <v>43555</v>
      </c>
      <c r="B10">
        <v>496.51800000000003</v>
      </c>
    </row>
    <row r="11" spans="1:5" x14ac:dyDescent="0.3">
      <c r="A11" s="1">
        <v>43585</v>
      </c>
      <c r="B11">
        <v>515.23</v>
      </c>
    </row>
    <row r="12" spans="1:5" x14ac:dyDescent="0.3">
      <c r="A12" s="1">
        <v>43616</v>
      </c>
      <c r="B12">
        <v>507.904</v>
      </c>
    </row>
    <row r="13" spans="1:5" x14ac:dyDescent="0.3">
      <c r="A13" s="1">
        <v>43646</v>
      </c>
      <c r="B13">
        <v>480.36500000000001</v>
      </c>
    </row>
    <row r="14" spans="1:5" x14ac:dyDescent="0.3">
      <c r="A14" s="1">
        <v>43677</v>
      </c>
      <c r="B14">
        <v>489.84250000000003</v>
      </c>
    </row>
    <row r="15" spans="1:5" x14ac:dyDescent="0.3">
      <c r="A15" s="1">
        <v>43708</v>
      </c>
      <c r="B15">
        <v>455.56400000000002</v>
      </c>
    </row>
    <row r="16" spans="1:5" x14ac:dyDescent="0.3">
      <c r="A16" s="1">
        <v>43738</v>
      </c>
      <c r="B16">
        <v>466.37749999999994</v>
      </c>
    </row>
    <row r="17" spans="1:2" x14ac:dyDescent="0.3">
      <c r="A17" s="1">
        <v>43769</v>
      </c>
      <c r="B17">
        <v>468.10499999999996</v>
      </c>
    </row>
    <row r="18" spans="1:2" x14ac:dyDescent="0.3">
      <c r="A18" s="1">
        <v>43799</v>
      </c>
      <c r="B18">
        <v>475.19800000000004</v>
      </c>
    </row>
    <row r="19" spans="1:2" x14ac:dyDescent="0.3">
      <c r="A19" s="1">
        <v>43830</v>
      </c>
      <c r="B19">
        <v>514.59249999999997</v>
      </c>
    </row>
    <row r="20" spans="1:2" x14ac:dyDescent="0.3">
      <c r="A20" s="1">
        <v>43861</v>
      </c>
      <c r="B20">
        <v>506.18399999999991</v>
      </c>
    </row>
    <row r="21" spans="1:2" x14ac:dyDescent="0.3">
      <c r="A21" s="1">
        <v>43890</v>
      </c>
      <c r="B21">
        <v>421.16750000000002</v>
      </c>
    </row>
    <row r="22" spans="1:2" x14ac:dyDescent="0.3">
      <c r="A22" s="1">
        <v>43921</v>
      </c>
      <c r="B22">
        <v>258.60000000000002</v>
      </c>
    </row>
    <row r="23" spans="1:2" x14ac:dyDescent="0.3">
      <c r="A23" s="1">
        <v>43951</v>
      </c>
      <c r="B23">
        <v>219.68499999999997</v>
      </c>
    </row>
    <row r="24" spans="1:2" x14ac:dyDescent="0.3">
      <c r="A24" s="1">
        <v>43982</v>
      </c>
      <c r="B24">
        <v>224.75200000000001</v>
      </c>
    </row>
    <row r="25" spans="1:2" x14ac:dyDescent="0.3">
      <c r="A25" s="1">
        <v>44012</v>
      </c>
      <c r="B25">
        <v>278.065</v>
      </c>
    </row>
    <row r="26" spans="1:2" x14ac:dyDescent="0.3">
      <c r="A26" s="1">
        <v>44043</v>
      </c>
      <c r="B26">
        <v>303.18400000000003</v>
      </c>
    </row>
    <row r="27" spans="1:2" x14ac:dyDescent="0.3">
      <c r="A27" s="1">
        <v>44074</v>
      </c>
      <c r="B27">
        <v>307.63499999999999</v>
      </c>
    </row>
    <row r="28" spans="1:2" x14ac:dyDescent="0.3">
      <c r="A28" s="1">
        <v>44104</v>
      </c>
      <c r="B28">
        <v>287.58500000000004</v>
      </c>
    </row>
    <row r="29" spans="1:2" x14ac:dyDescent="0.3">
      <c r="A29" s="1">
        <v>44135</v>
      </c>
      <c r="B29">
        <v>292.66399999999999</v>
      </c>
    </row>
    <row r="30" spans="1:2" x14ac:dyDescent="0.3">
      <c r="A30" s="1">
        <v>44165</v>
      </c>
      <c r="B30">
        <v>318.21749999999997</v>
      </c>
    </row>
    <row r="31" spans="1:2" x14ac:dyDescent="0.3">
      <c r="A31" s="1">
        <v>44196</v>
      </c>
      <c r="B31">
        <v>363.89249999999998</v>
      </c>
    </row>
    <row r="32" spans="1:2" x14ac:dyDescent="0.3">
      <c r="A32" s="1">
        <v>44227</v>
      </c>
      <c r="B32">
        <v>395.30399999999997</v>
      </c>
    </row>
    <row r="33" spans="1:2" x14ac:dyDescent="0.3">
      <c r="A33" s="1">
        <v>44255</v>
      </c>
      <c r="B33">
        <v>456.15750000000003</v>
      </c>
    </row>
    <row r="34" spans="1:2" x14ac:dyDescent="0.3">
      <c r="A34" s="1">
        <v>44286</v>
      </c>
      <c r="B34">
        <v>473.22749999999996</v>
      </c>
    </row>
    <row r="35" spans="1:2" x14ac:dyDescent="0.3">
      <c r="A35" s="1">
        <v>44316</v>
      </c>
      <c r="B35">
        <v>458.65800000000002</v>
      </c>
    </row>
    <row r="36" spans="1:2" x14ac:dyDescent="0.3">
      <c r="A36" s="1">
        <v>44347</v>
      </c>
      <c r="B36">
        <v>469.65250000000003</v>
      </c>
    </row>
    <row r="37" spans="1:2" x14ac:dyDescent="0.3">
      <c r="A37" s="1">
        <v>44377</v>
      </c>
      <c r="B37">
        <v>504.29750000000001</v>
      </c>
    </row>
    <row r="38" spans="1:2" x14ac:dyDescent="0.3">
      <c r="A38" s="1">
        <v>44408</v>
      </c>
      <c r="B38">
        <v>516.52600000000007</v>
      </c>
    </row>
    <row r="39" spans="1:2" x14ac:dyDescent="0.3">
      <c r="A39" s="1">
        <v>44439</v>
      </c>
      <c r="B39">
        <v>480.90999999999997</v>
      </c>
    </row>
    <row r="40" spans="1:2" x14ac:dyDescent="0.3">
      <c r="A40" s="1">
        <v>44469</v>
      </c>
      <c r="B40">
        <v>511.43499999999995</v>
      </c>
    </row>
    <row r="41" spans="1:2" x14ac:dyDescent="0.3">
      <c r="A41" s="1">
        <v>44500</v>
      </c>
      <c r="B41">
        <v>565.36799999999994</v>
      </c>
    </row>
    <row r="42" spans="1:2" x14ac:dyDescent="0.3">
      <c r="A42" s="1">
        <v>44530</v>
      </c>
      <c r="B42">
        <v>540.59249999999997</v>
      </c>
    </row>
    <row r="43" spans="1:2" x14ac:dyDescent="0.3">
      <c r="A43" s="1">
        <v>44561</v>
      </c>
      <c r="B43">
        <v>519.98800000000006</v>
      </c>
    </row>
    <row r="44" spans="1:2" x14ac:dyDescent="0.3">
      <c r="A44" s="1">
        <v>44592</v>
      </c>
      <c r="B44">
        <v>596.9375</v>
      </c>
    </row>
    <row r="45" spans="1:2" x14ac:dyDescent="0.3">
      <c r="A45" s="1">
        <v>44620</v>
      </c>
      <c r="B45">
        <v>658.24250000000006</v>
      </c>
    </row>
    <row r="46" spans="1:2" x14ac:dyDescent="0.3">
      <c r="A46" s="1">
        <v>44651</v>
      </c>
      <c r="B46">
        <v>791.4325</v>
      </c>
    </row>
    <row r="47" spans="1:2" x14ac:dyDescent="0.3">
      <c r="A47" s="1">
        <v>44681</v>
      </c>
      <c r="B47">
        <v>740.78800000000001</v>
      </c>
    </row>
    <row r="48" spans="1:2" x14ac:dyDescent="0.3">
      <c r="A48" s="1">
        <v>44712</v>
      </c>
      <c r="B48">
        <v>779.58</v>
      </c>
    </row>
    <row r="49" spans="1:2" x14ac:dyDescent="0.3">
      <c r="A49" s="1">
        <v>44742</v>
      </c>
      <c r="B49">
        <v>829.05000000000007</v>
      </c>
    </row>
    <row r="50" spans="1:2" x14ac:dyDescent="0.3">
      <c r="A50" s="1">
        <v>44773</v>
      </c>
      <c r="B50">
        <v>720.85799999999995</v>
      </c>
    </row>
    <row r="51" spans="1:2" x14ac:dyDescent="0.3">
      <c r="A51" s="1">
        <v>44804</v>
      </c>
      <c r="B51">
        <v>653.76750000000004</v>
      </c>
    </row>
    <row r="52" spans="1:2" x14ac:dyDescent="0.3">
      <c r="A52" s="1">
        <v>44834</v>
      </c>
      <c r="B52">
        <v>596.35599999999999</v>
      </c>
    </row>
    <row r="53" spans="1:2" x14ac:dyDescent="0.3">
      <c r="A53" s="1">
        <v>44865</v>
      </c>
      <c r="B53">
        <v>611.70749999999998</v>
      </c>
    </row>
    <row r="54" spans="1:2" x14ac:dyDescent="0.3">
      <c r="A54" s="1">
        <v>44895</v>
      </c>
      <c r="B54">
        <v>563.98</v>
      </c>
    </row>
    <row r="55" spans="1:2" x14ac:dyDescent="0.3">
      <c r="A55" s="1">
        <v>44926</v>
      </c>
      <c r="B55">
        <v>502.95</v>
      </c>
    </row>
    <row r="56" spans="1:2" x14ac:dyDescent="0.3">
      <c r="A56" s="1">
        <v>44957</v>
      </c>
      <c r="B56">
        <v>538.4</v>
      </c>
    </row>
    <row r="57" spans="1:2" x14ac:dyDescent="0.3">
      <c r="A57" s="1">
        <v>44985</v>
      </c>
      <c r="B57">
        <v>534.17750000000001</v>
      </c>
    </row>
    <row r="58" spans="1:2" x14ac:dyDescent="0.3">
      <c r="A58" s="1">
        <v>45016</v>
      </c>
      <c r="B58">
        <v>513.548</v>
      </c>
    </row>
    <row r="59" spans="1:2" x14ac:dyDescent="0.3">
      <c r="A59" s="1">
        <v>45046</v>
      </c>
      <c r="B59">
        <v>533.38000000000011</v>
      </c>
    </row>
    <row r="60" spans="1:2" x14ac:dyDescent="0.3">
      <c r="A60" s="1">
        <v>45077</v>
      </c>
      <c r="B60">
        <v>488.13750000000005</v>
      </c>
    </row>
    <row r="61" spans="1:2" x14ac:dyDescent="0.3">
      <c r="A61" s="1">
        <v>45107</v>
      </c>
      <c r="B61">
        <v>502.49399999999997</v>
      </c>
    </row>
    <row r="62" spans="1:2" x14ac:dyDescent="0.3">
      <c r="A62" s="1">
        <v>45138</v>
      </c>
      <c r="B62">
        <v>529.44749999999999</v>
      </c>
    </row>
    <row r="63" spans="1:2" x14ac:dyDescent="0.3">
      <c r="A63" s="1">
        <v>45169</v>
      </c>
      <c r="B63">
        <v>571.76250000000005</v>
      </c>
    </row>
    <row r="64" spans="1:2" x14ac:dyDescent="0.3">
      <c r="A64" s="1">
        <v>45199</v>
      </c>
      <c r="B64">
        <v>590.72799999999995</v>
      </c>
    </row>
    <row r="65" spans="1:2" x14ac:dyDescent="0.3">
      <c r="A65" s="1">
        <v>45230</v>
      </c>
      <c r="B65">
        <v>571.15750000000003</v>
      </c>
    </row>
    <row r="66" spans="1:2" x14ac:dyDescent="0.3">
      <c r="A66" s="1">
        <v>45260</v>
      </c>
      <c r="B66">
        <v>540.5474999999999</v>
      </c>
    </row>
    <row r="67" spans="1:2" x14ac:dyDescent="0.3">
      <c r="A67" s="1">
        <v>45291</v>
      </c>
      <c r="B67">
        <v>520.84799999999996</v>
      </c>
    </row>
    <row r="68" spans="1:2" x14ac:dyDescent="0.3">
      <c r="A68" s="1">
        <v>45322</v>
      </c>
      <c r="B68">
        <v>534.32249999999999</v>
      </c>
    </row>
    <row r="69" spans="1:2" x14ac:dyDescent="0.3">
      <c r="A69" s="1">
        <v>45351</v>
      </c>
      <c r="B69">
        <v>548.745</v>
      </c>
    </row>
    <row r="70" spans="1:2" x14ac:dyDescent="0.3">
      <c r="A70" s="1">
        <v>45382</v>
      </c>
      <c r="B70">
        <v>573.97</v>
      </c>
    </row>
    <row r="71" spans="1:2" x14ac:dyDescent="0.3">
      <c r="A71" s="1">
        <v>45412</v>
      </c>
      <c r="B71">
        <v>592.48</v>
      </c>
    </row>
    <row r="72" spans="1:2" x14ac:dyDescent="0.3">
      <c r="A72" s="1">
        <v>45443</v>
      </c>
      <c r="B72">
        <v>542.73400000000004</v>
      </c>
    </row>
    <row r="73" spans="1:2" x14ac:dyDescent="0.3">
      <c r="A73" s="1">
        <v>45473</v>
      </c>
      <c r="B73">
        <v>542.56000000000006</v>
      </c>
    </row>
    <row r="74" spans="1:2" x14ac:dyDescent="0.3">
      <c r="A74" s="1">
        <v>45504</v>
      </c>
      <c r="B74">
        <v>547.67250000000001</v>
      </c>
    </row>
    <row r="75" spans="1:2" x14ac:dyDescent="0.3">
      <c r="A75" s="1">
        <v>45535</v>
      </c>
      <c r="B75">
        <v>521.60600000000011</v>
      </c>
    </row>
    <row r="76" spans="1:2" x14ac:dyDescent="0.3">
      <c r="A76" s="1">
        <v>45565</v>
      </c>
      <c r="B76">
        <v>486.39249999999993</v>
      </c>
    </row>
    <row r="77" spans="1:2" x14ac:dyDescent="0.3">
      <c r="A77" s="1">
        <v>45596</v>
      </c>
      <c r="B77">
        <v>513.46749999999997</v>
      </c>
    </row>
    <row r="78" spans="1:2" x14ac:dyDescent="0.3">
      <c r="A78" s="1">
        <v>45626</v>
      </c>
      <c r="B78">
        <v>490.34199999999998</v>
      </c>
    </row>
    <row r="79" spans="1:2" x14ac:dyDescent="0.3">
      <c r="A79" s="1">
        <v>45657</v>
      </c>
      <c r="B79">
        <v>505.13249999999999</v>
      </c>
    </row>
    <row r="80" spans="1:2" x14ac:dyDescent="0.3">
      <c r="A80" s="1">
        <v>45688</v>
      </c>
      <c r="B80">
        <v>524.976</v>
      </c>
    </row>
    <row r="81" spans="1:5" x14ac:dyDescent="0.3">
      <c r="A81" s="1">
        <v>45716</v>
      </c>
      <c r="B81">
        <v>502.67249999999996</v>
      </c>
    </row>
    <row r="82" spans="1:5" x14ac:dyDescent="0.3">
      <c r="A82" s="1">
        <v>45747</v>
      </c>
      <c r="B82">
        <v>468.57749999999999</v>
      </c>
    </row>
    <row r="83" spans="1:5" x14ac:dyDescent="0.3">
      <c r="A83" s="1">
        <v>45777</v>
      </c>
      <c r="B83">
        <v>437.19749999999999</v>
      </c>
    </row>
    <row r="84" spans="1:5" x14ac:dyDescent="0.3">
      <c r="A84" s="1">
        <v>45808</v>
      </c>
      <c r="B84">
        <v>438.07</v>
      </c>
    </row>
    <row r="85" spans="1:5" x14ac:dyDescent="0.3">
      <c r="A85" s="1">
        <v>45838</v>
      </c>
      <c r="B85">
        <v>481.86999999999995</v>
      </c>
    </row>
    <row r="86" spans="1:5" x14ac:dyDescent="0.3">
      <c r="A86" s="1">
        <v>45869</v>
      </c>
      <c r="B86">
        <v>468.49749999999995</v>
      </c>
    </row>
    <row r="87" spans="1:5" x14ac:dyDescent="0.3">
      <c r="A87" s="1">
        <v>45900</v>
      </c>
      <c r="B87">
        <v>457.09000000000003</v>
      </c>
    </row>
    <row r="88" spans="1:5" x14ac:dyDescent="0.3">
      <c r="A88" s="1">
        <v>45930</v>
      </c>
      <c r="B88">
        <v>435.1</v>
      </c>
    </row>
    <row r="89" spans="1:5" x14ac:dyDescent="0.3">
      <c r="A89" s="1">
        <v>45961</v>
      </c>
      <c r="B89">
        <v>411.58199999999999</v>
      </c>
    </row>
    <row r="90" spans="1:5" x14ac:dyDescent="0.3">
      <c r="A90" s="1">
        <v>45991</v>
      </c>
      <c r="B90">
        <v>402.58500000000004</v>
      </c>
    </row>
    <row r="91" spans="1:5" x14ac:dyDescent="0.3">
      <c r="A91" s="1">
        <v>46022</v>
      </c>
      <c r="B91">
        <v>380.79749999999996</v>
      </c>
    </row>
    <row r="92" spans="1:5" x14ac:dyDescent="0.3">
      <c r="A92" s="1">
        <v>46053</v>
      </c>
      <c r="B92">
        <v>392.19200000000001</v>
      </c>
    </row>
    <row r="93" spans="1:5" x14ac:dyDescent="0.3">
      <c r="A93" s="1">
        <v>46081</v>
      </c>
      <c r="B93">
        <v>416.45</v>
      </c>
      <c r="C93">
        <v>416.45</v>
      </c>
      <c r="D93" s="5">
        <v>416.45</v>
      </c>
      <c r="E93" s="5">
        <v>416.45</v>
      </c>
    </row>
    <row r="94" spans="1:5" x14ac:dyDescent="0.3">
      <c r="A94" s="1">
        <v>46109</v>
      </c>
      <c r="C94">
        <f t="shared" ref="C94:C116" si="0">_xlfn.FORECAST.ETS(A94,$B$2:$B$93,$A$2:$A$93,1,1)</f>
        <v>417.01110863785584</v>
      </c>
      <c r="D94" s="5">
        <f t="shared" ref="D94:D116" si="1">C94-_xlfn.FORECAST.ETS.CONFINT(A94,$B$2:$B$93,$A$2:$A$93,0.95,1,1)</f>
        <v>315.19427108840273</v>
      </c>
      <c r="E94" s="5">
        <f t="shared" ref="E94:E116" si="2">C94+_xlfn.FORECAST.ETS.CONFINT(A94,$B$2:$B$93,$A$2:$A$93,0.95,1,1)</f>
        <v>518.82794618730895</v>
      </c>
    </row>
    <row r="95" spans="1:5" x14ac:dyDescent="0.3">
      <c r="A95" s="1">
        <v>46140</v>
      </c>
      <c r="C95">
        <f t="shared" si="0"/>
        <v>417.57221727571164</v>
      </c>
      <c r="D95" s="5">
        <f t="shared" si="1"/>
        <v>295.14708180226086</v>
      </c>
      <c r="E95" s="5">
        <f t="shared" si="2"/>
        <v>539.99735274916247</v>
      </c>
    </row>
    <row r="96" spans="1:5" x14ac:dyDescent="0.3">
      <c r="A96" s="1">
        <v>46170</v>
      </c>
      <c r="C96">
        <f t="shared" si="0"/>
        <v>418.13332591356749</v>
      </c>
      <c r="D96" s="5">
        <f t="shared" si="1"/>
        <v>278.05116247269632</v>
      </c>
      <c r="E96" s="5">
        <f t="shared" si="2"/>
        <v>558.21548935443866</v>
      </c>
    </row>
    <row r="97" spans="1:5" x14ac:dyDescent="0.3">
      <c r="A97" s="1">
        <v>46201</v>
      </c>
      <c r="C97">
        <f t="shared" si="0"/>
        <v>418.69443455142334</v>
      </c>
      <c r="D97" s="5">
        <f t="shared" si="1"/>
        <v>262.89974498321305</v>
      </c>
      <c r="E97" s="5">
        <f t="shared" si="2"/>
        <v>574.48912411963363</v>
      </c>
    </row>
    <row r="98" spans="1:5" x14ac:dyDescent="0.3">
      <c r="A98" s="1">
        <v>46231</v>
      </c>
      <c r="C98">
        <f t="shared" si="0"/>
        <v>419.25554318927914</v>
      </c>
      <c r="D98" s="5">
        <f t="shared" si="1"/>
        <v>249.15306560835205</v>
      </c>
      <c r="E98" s="5">
        <f t="shared" si="2"/>
        <v>589.35802077020617</v>
      </c>
    </row>
    <row r="99" spans="1:5" x14ac:dyDescent="0.3">
      <c r="A99" s="1">
        <v>46262</v>
      </c>
      <c r="C99">
        <f t="shared" si="0"/>
        <v>419.81665182713499</v>
      </c>
      <c r="D99" s="5">
        <f t="shared" si="1"/>
        <v>236.48188700563105</v>
      </c>
      <c r="E99" s="5">
        <f t="shared" si="2"/>
        <v>603.15141664863893</v>
      </c>
    </row>
    <row r="100" spans="1:5" x14ac:dyDescent="0.3">
      <c r="A100" s="1">
        <v>46293</v>
      </c>
      <c r="C100">
        <f t="shared" si="0"/>
        <v>420.37776046499084</v>
      </c>
      <c r="D100" s="5">
        <f t="shared" si="1"/>
        <v>224.6678849605828</v>
      </c>
      <c r="E100" s="5">
        <f t="shared" si="2"/>
        <v>616.08763596939889</v>
      </c>
    </row>
    <row r="101" spans="1:5" x14ac:dyDescent="0.3">
      <c r="A101" s="1">
        <v>46323</v>
      </c>
      <c r="C101">
        <f t="shared" si="0"/>
        <v>420.9388691028467</v>
      </c>
      <c r="D101" s="5">
        <f t="shared" si="1"/>
        <v>213.55750121775731</v>
      </c>
      <c r="E101" s="5">
        <f t="shared" si="2"/>
        <v>628.32023698793614</v>
      </c>
    </row>
    <row r="102" spans="1:5" x14ac:dyDescent="0.3">
      <c r="A102" s="1">
        <v>46354</v>
      </c>
      <c r="C102">
        <f t="shared" si="0"/>
        <v>421.49997774070249</v>
      </c>
      <c r="D102" s="5">
        <f t="shared" si="1"/>
        <v>203.03788525481443</v>
      </c>
      <c r="E102" s="5">
        <f t="shared" si="2"/>
        <v>639.96207022659053</v>
      </c>
    </row>
    <row r="103" spans="1:5" x14ac:dyDescent="0.3">
      <c r="A103" s="1">
        <v>46384</v>
      </c>
      <c r="C103">
        <f t="shared" si="0"/>
        <v>422.06108637855834</v>
      </c>
      <c r="D103" s="5">
        <f t="shared" si="1"/>
        <v>193.02323268281344</v>
      </c>
      <c r="E103" s="5">
        <f t="shared" si="2"/>
        <v>651.0989400743033</v>
      </c>
    </row>
    <row r="104" spans="1:5" x14ac:dyDescent="0.3">
      <c r="A104" s="1">
        <v>46415</v>
      </c>
      <c r="C104">
        <f t="shared" si="0"/>
        <v>422.6221950164142</v>
      </c>
      <c r="D104" s="5">
        <f t="shared" si="1"/>
        <v>183.44650604291124</v>
      </c>
      <c r="E104" s="5">
        <f t="shared" si="2"/>
        <v>661.79788398991718</v>
      </c>
    </row>
    <row r="105" spans="1:5" x14ac:dyDescent="0.3">
      <c r="A105" s="1">
        <v>46446</v>
      </c>
      <c r="C105">
        <f t="shared" si="0"/>
        <v>423.18330365426999</v>
      </c>
      <c r="D105" s="5">
        <f t="shared" si="1"/>
        <v>174.25415329650522</v>
      </c>
      <c r="E105" s="5">
        <f t="shared" si="2"/>
        <v>672.11245401203473</v>
      </c>
    </row>
    <row r="106" spans="1:5" x14ac:dyDescent="0.3">
      <c r="A106" s="1">
        <v>46474</v>
      </c>
      <c r="C106">
        <f t="shared" si="0"/>
        <v>423.74441229212584</v>
      </c>
      <c r="D106" s="5">
        <f t="shared" si="1"/>
        <v>165.40259557528702</v>
      </c>
      <c r="E106" s="5">
        <f t="shared" si="2"/>
        <v>682.08622900896466</v>
      </c>
    </row>
    <row r="107" spans="1:5" x14ac:dyDescent="0.3">
      <c r="A107" s="1">
        <v>46505</v>
      </c>
      <c r="C107">
        <f t="shared" si="0"/>
        <v>424.3055209299817</v>
      </c>
      <c r="D107" s="5">
        <f t="shared" si="1"/>
        <v>156.85580971413282</v>
      </c>
      <c r="E107" s="5">
        <f t="shared" si="2"/>
        <v>691.75523214583063</v>
      </c>
    </row>
    <row r="108" spans="1:5" x14ac:dyDescent="0.3">
      <c r="A108" s="1">
        <v>46535</v>
      </c>
      <c r="C108">
        <f t="shared" si="0"/>
        <v>424.86662956783749</v>
      </c>
      <c r="D108" s="5">
        <f t="shared" si="1"/>
        <v>148.58361538522797</v>
      </c>
      <c r="E108" s="5">
        <f t="shared" si="2"/>
        <v>701.14964375044701</v>
      </c>
    </row>
    <row r="109" spans="1:5" x14ac:dyDescent="0.3">
      <c r="A109" s="1">
        <v>46566</v>
      </c>
      <c r="C109">
        <f t="shared" si="0"/>
        <v>425.42773820569334</v>
      </c>
      <c r="D109" s="5">
        <f t="shared" si="1"/>
        <v>140.5604310483875</v>
      </c>
      <c r="E109" s="5">
        <f t="shared" si="2"/>
        <v>710.29504536299919</v>
      </c>
    </row>
    <row r="110" spans="1:5" x14ac:dyDescent="0.3">
      <c r="A110" s="1">
        <v>46596</v>
      </c>
      <c r="C110">
        <f t="shared" si="0"/>
        <v>425.9888468435492</v>
      </c>
      <c r="D110" s="5">
        <f t="shared" si="1"/>
        <v>132.7643508571835</v>
      </c>
      <c r="E110" s="5">
        <f t="shared" si="2"/>
        <v>719.21334282991484</v>
      </c>
    </row>
    <row r="111" spans="1:5" x14ac:dyDescent="0.3">
      <c r="A111" s="1">
        <v>46627</v>
      </c>
      <c r="C111">
        <f t="shared" si="0"/>
        <v>426.54995548140499</v>
      </c>
      <c r="D111" s="5">
        <f t="shared" si="1"/>
        <v>125.17644679596185</v>
      </c>
      <c r="E111" s="5">
        <f t="shared" si="2"/>
        <v>727.92346416684813</v>
      </c>
    </row>
    <row r="112" spans="1:5" x14ac:dyDescent="0.3">
      <c r="A112" s="1">
        <v>46658</v>
      </c>
      <c r="C112">
        <f t="shared" si="0"/>
        <v>427.11106411926085</v>
      </c>
      <c r="D112" s="5">
        <f t="shared" si="1"/>
        <v>117.78023233370828</v>
      </c>
      <c r="E112" s="5">
        <f t="shared" si="2"/>
        <v>736.44189590481346</v>
      </c>
    </row>
    <row r="113" spans="1:5" x14ac:dyDescent="0.3">
      <c r="A113" s="1">
        <v>46688</v>
      </c>
      <c r="C113">
        <f t="shared" si="0"/>
        <v>427.6721727571167</v>
      </c>
      <c r="D113" s="5">
        <f t="shared" si="1"/>
        <v>110.56124414207244</v>
      </c>
      <c r="E113" s="5">
        <f t="shared" si="2"/>
        <v>744.7831013721609</v>
      </c>
    </row>
    <row r="114" spans="1:5" x14ac:dyDescent="0.3">
      <c r="A114" s="1">
        <v>46719</v>
      </c>
      <c r="C114">
        <f t="shared" si="0"/>
        <v>428.23328139497249</v>
      </c>
      <c r="D114" s="5">
        <f t="shared" si="1"/>
        <v>103.50671159728347</v>
      </c>
      <c r="E114" s="5">
        <f t="shared" si="2"/>
        <v>752.95985119266152</v>
      </c>
    </row>
    <row r="115" spans="1:5" x14ac:dyDescent="0.3">
      <c r="A115" s="1">
        <v>46749</v>
      </c>
      <c r="C115">
        <f t="shared" si="0"/>
        <v>428.79439003282835</v>
      </c>
      <c r="D115" s="5">
        <f t="shared" si="1"/>
        <v>96.605292555334813</v>
      </c>
      <c r="E115" s="5">
        <f t="shared" si="2"/>
        <v>760.98348751032188</v>
      </c>
    </row>
    <row r="116" spans="1:5" x14ac:dyDescent="0.3">
      <c r="A116" s="1">
        <v>46780</v>
      </c>
      <c r="C116">
        <f t="shared" si="0"/>
        <v>429.3554986706842</v>
      </c>
      <c r="D116" s="5">
        <f t="shared" si="1"/>
        <v>89.846859853573278</v>
      </c>
      <c r="E116" s="5">
        <f t="shared" si="2"/>
        <v>768.86413748779512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AB94-AD02-4EE5-A2AD-28F33D6BC020}">
  <dimension ref="A1:H230"/>
  <sheetViews>
    <sheetView workbookViewId="0">
      <pane ySplit="1" topLeftCell="A230" activePane="bottomLeft" state="frozen"/>
      <selection pane="bottomLeft" activeCell="F142" sqref="F142"/>
    </sheetView>
  </sheetViews>
  <sheetFormatPr defaultRowHeight="14.4" x14ac:dyDescent="0.3"/>
  <cols>
    <col min="1" max="1" width="10.33203125" bestFit="1" customWidth="1"/>
    <col min="2" max="2" width="49.33203125" bestFit="1" customWidth="1"/>
    <col min="3" max="4" width="12" bestFit="1" customWidth="1"/>
    <col min="5" max="5" width="19.109375" bestFit="1" customWidth="1"/>
    <col min="6" max="6" width="10.88671875" bestFit="1" customWidth="1"/>
    <col min="7" max="7" width="12.44140625" bestFit="1" customWidth="1"/>
  </cols>
  <sheetData>
    <row r="1" spans="1:8" x14ac:dyDescent="0.3">
      <c r="A1" s="4" t="s">
        <v>4</v>
      </c>
      <c r="B1" s="4" t="s">
        <v>6</v>
      </c>
      <c r="D1" s="9" t="s">
        <v>15</v>
      </c>
      <c r="E1" s="10" t="s">
        <v>16</v>
      </c>
      <c r="F1" s="7" t="s">
        <v>17</v>
      </c>
      <c r="G1" s="11" t="s">
        <v>18</v>
      </c>
    </row>
    <row r="2" spans="1:8" x14ac:dyDescent="0.3">
      <c r="A2" s="3">
        <v>39325</v>
      </c>
      <c r="D2">
        <f>MAX(0,B2-[1]Sheet1!$F$3)*[1]Sheet1!$H$3</f>
        <v>0</v>
      </c>
      <c r="E2">
        <f>MAX(0,B2-[1]Sheet1!$F$7)*[1]Sheet1!$H$7</f>
        <v>0</v>
      </c>
      <c r="F2">
        <f>MAX(0,B2-[1]Sheet1!$F$4)*[1]Sheet1!$H$4</f>
        <v>0</v>
      </c>
      <c r="G2">
        <f>MAX(0,B2-[1]Sheet1!$F$5)*[2]Sheet1!$E$26/50</f>
        <v>0</v>
      </c>
    </row>
    <row r="3" spans="1:8" x14ac:dyDescent="0.3">
      <c r="A3" s="3">
        <v>39355</v>
      </c>
      <c r="D3">
        <f>MAX(0,B3-[1]Sheet1!$F$3)*[1]Sheet1!$H$3</f>
        <v>0</v>
      </c>
      <c r="E3">
        <f>MAX(0,B3-[1]Sheet1!$F$7)*[1]Sheet1!$H$7</f>
        <v>0</v>
      </c>
      <c r="F3">
        <f>MAX(0,B3-[1]Sheet1!$F$4)*[1]Sheet1!$H$4</f>
        <v>0</v>
      </c>
      <c r="G3">
        <f>MAX(0,B3-[1]Sheet1!$F$5)*[2]Sheet1!$E$26/50</f>
        <v>0</v>
      </c>
    </row>
    <row r="4" spans="1:8" x14ac:dyDescent="0.3">
      <c r="A4" s="3">
        <v>39386</v>
      </c>
      <c r="D4">
        <f>MAX(0,B4-[1]Sheet1!$F$3)*[1]Sheet1!$H$3</f>
        <v>0</v>
      </c>
      <c r="E4">
        <f>MAX(0,B4-[1]Sheet1!$F$7)*[1]Sheet1!$H$7</f>
        <v>0</v>
      </c>
      <c r="F4">
        <f>MAX(0,B4-[1]Sheet1!$F$4)*[1]Sheet1!$H$4</f>
        <v>0</v>
      </c>
      <c r="G4">
        <f>MAX(0,B4-[1]Sheet1!$F$5)*[2]Sheet1!$E$26/50</f>
        <v>0</v>
      </c>
    </row>
    <row r="5" spans="1:8" x14ac:dyDescent="0.3">
      <c r="A5" s="3">
        <v>39416</v>
      </c>
      <c r="D5">
        <f>MAX(0,B5-[1]Sheet1!$F$3)*[1]Sheet1!$H$3</f>
        <v>0</v>
      </c>
      <c r="E5">
        <f>MAX(0,B5-[1]Sheet1!$F$7)*[1]Sheet1!$H$7</f>
        <v>0</v>
      </c>
      <c r="F5">
        <f>MAX(0,B5-[1]Sheet1!$F$4)*[1]Sheet1!$H$4</f>
        <v>0</v>
      </c>
      <c r="G5">
        <f>MAX(0,B5-[1]Sheet1!$F$5)*[2]Sheet1!$E$26/50</f>
        <v>0</v>
      </c>
    </row>
    <row r="6" spans="1:8" x14ac:dyDescent="0.3">
      <c r="A6" s="3">
        <v>39447</v>
      </c>
      <c r="D6">
        <f>MAX(0,B6-[1]Sheet1!$F$3)*[1]Sheet1!$H$3</f>
        <v>0</v>
      </c>
      <c r="E6">
        <f>MAX(0,B6-[1]Sheet1!$F$7)*[1]Sheet1!$H$7</f>
        <v>0</v>
      </c>
      <c r="F6">
        <f>MAX(0,B6-[1]Sheet1!$F$4)*[1]Sheet1!$H$4</f>
        <v>0</v>
      </c>
      <c r="G6">
        <f>MAX(0,B6-[1]Sheet1!$F$5)*[2]Sheet1!$E$26/50</f>
        <v>0</v>
      </c>
    </row>
    <row r="7" spans="1:8" x14ac:dyDescent="0.3">
      <c r="A7" s="3">
        <v>39478</v>
      </c>
      <c r="D7">
        <f>MAX(0,B7-[1]Sheet1!$F$3)*[1]Sheet1!$H$3</f>
        <v>0</v>
      </c>
      <c r="E7">
        <f>MAX(0,B7-[1]Sheet1!$F$7)*[1]Sheet1!$H$7</f>
        <v>0</v>
      </c>
      <c r="F7">
        <f>MAX(0,B7-[1]Sheet1!$F$4)*[1]Sheet1!$H$4</f>
        <v>0</v>
      </c>
      <c r="G7">
        <f>MAX(0,B7-[1]Sheet1!$F$5)*[2]Sheet1!$E$26/50</f>
        <v>0</v>
      </c>
    </row>
    <row r="8" spans="1:8" x14ac:dyDescent="0.3">
      <c r="A8" s="3">
        <v>39507</v>
      </c>
      <c r="D8">
        <f>MAX(0,B8-[1]Sheet1!$F$3)*[1]Sheet1!$H$3</f>
        <v>0</v>
      </c>
      <c r="E8">
        <f>MAX(0,B8-[1]Sheet1!$F$7)*[1]Sheet1!$H$7</f>
        <v>0</v>
      </c>
      <c r="F8">
        <f>MAX(0,B8-[1]Sheet1!$F$4)*[1]Sheet1!$H$4</f>
        <v>0</v>
      </c>
      <c r="G8">
        <f>MAX(0,B8-[1]Sheet1!$F$5)*[2]Sheet1!$E$26/50</f>
        <v>0</v>
      </c>
    </row>
    <row r="9" spans="1:8" x14ac:dyDescent="0.3">
      <c r="A9" s="3">
        <v>39538</v>
      </c>
      <c r="D9">
        <f>MAX(0,B9-[1]Sheet1!$F$3)*[1]Sheet1!$H$3</f>
        <v>0</v>
      </c>
      <c r="E9">
        <f>MAX(0,B9-[1]Sheet1!$F$7)*[1]Sheet1!$H$7</f>
        <v>0</v>
      </c>
      <c r="F9">
        <f>MAX(0,B9-[1]Sheet1!$F$4)*[1]Sheet1!$H$4</f>
        <v>0</v>
      </c>
      <c r="G9">
        <f>MAX(0,B9-[1]Sheet1!$F$5)*[2]Sheet1!$E$26/50</f>
        <v>0</v>
      </c>
    </row>
    <row r="10" spans="1:8" x14ac:dyDescent="0.3">
      <c r="A10" s="3">
        <v>39568</v>
      </c>
      <c r="D10">
        <f>MAX(0,B10-[1]Sheet1!$F$3)*[1]Sheet1!$H$3</f>
        <v>0</v>
      </c>
      <c r="E10">
        <f>MAX(0,B10-[1]Sheet1!$F$7)*[1]Sheet1!$H$7</f>
        <v>0</v>
      </c>
      <c r="F10">
        <f>MAX(0,B10-[1]Sheet1!$F$4)*[1]Sheet1!$H$4</f>
        <v>0</v>
      </c>
      <c r="G10">
        <f>MAX(0,B10-[1]Sheet1!$F$5)*[2]Sheet1!$E$26/50</f>
        <v>0</v>
      </c>
    </row>
    <row r="11" spans="1:8" x14ac:dyDescent="0.3">
      <c r="A11" s="3">
        <v>39599</v>
      </c>
      <c r="D11">
        <f>MAX(0,B11-[1]Sheet1!$F$3)*[1]Sheet1!$H$3</f>
        <v>0</v>
      </c>
      <c r="E11">
        <f>MAX(0,B11-[1]Sheet1!$F$7)*[1]Sheet1!$H$7</f>
        <v>0</v>
      </c>
      <c r="F11">
        <f>MAX(0,B11-[1]Sheet1!$F$4)*[1]Sheet1!$H$4</f>
        <v>0</v>
      </c>
      <c r="G11">
        <f>MAX(0,B11-[1]Sheet1!$F$5)*[2]Sheet1!$E$26/50</f>
        <v>0</v>
      </c>
    </row>
    <row r="12" spans="1:8" x14ac:dyDescent="0.3">
      <c r="A12" s="3">
        <v>39629</v>
      </c>
      <c r="D12">
        <f>MAX(0,B12-[1]Sheet1!$F$3)*[1]Sheet1!$H$3</f>
        <v>0</v>
      </c>
      <c r="E12">
        <f>MAX(0,B12-[1]Sheet1!$F$7)*[1]Sheet1!$H$7</f>
        <v>0</v>
      </c>
      <c r="F12">
        <f>MAX(0,B12-[1]Sheet1!$F$4)*[1]Sheet1!$H$4</f>
        <v>0</v>
      </c>
      <c r="G12">
        <f>MAX(0,B12-[1]Sheet1!$F$5)*[2]Sheet1!$E$26/50</f>
        <v>0</v>
      </c>
    </row>
    <row r="13" spans="1:8" x14ac:dyDescent="0.3">
      <c r="A13" s="3">
        <v>39660</v>
      </c>
      <c r="D13">
        <f>MAX(0,B13-[1]Sheet1!$F$3)*[1]Sheet1!$H$3</f>
        <v>0</v>
      </c>
      <c r="E13">
        <f>MAX(0,B13-[1]Sheet1!$F$7)*[1]Sheet1!$H$7</f>
        <v>0</v>
      </c>
      <c r="F13">
        <f>MAX(0,B13-[1]Sheet1!$F$4)*[1]Sheet1!$H$4</f>
        <v>0</v>
      </c>
      <c r="G13">
        <f>MAX(0,B13-[1]Sheet1!$F$5)*[2]Sheet1!$E$26/50</f>
        <v>0</v>
      </c>
      <c r="H13" s="8"/>
    </row>
    <row r="14" spans="1:8" x14ac:dyDescent="0.3">
      <c r="A14" s="3">
        <v>39691</v>
      </c>
      <c r="D14">
        <f>MAX(0,B14-[1]Sheet1!$F$3)*[1]Sheet1!$H$3</f>
        <v>0</v>
      </c>
      <c r="E14">
        <f>MAX(0,B14-[1]Sheet1!$F$7)*[1]Sheet1!$H$7</f>
        <v>0</v>
      </c>
      <c r="F14">
        <f>MAX(0,B14-[1]Sheet1!$F$4)*[1]Sheet1!$H$4</f>
        <v>0</v>
      </c>
      <c r="G14">
        <f>MAX(0,B14-[1]Sheet1!$F$5)*[2]Sheet1!$E$26/50</f>
        <v>0</v>
      </c>
    </row>
    <row r="15" spans="1:8" x14ac:dyDescent="0.3">
      <c r="A15" s="3">
        <v>39721</v>
      </c>
      <c r="D15">
        <f>MAX(0,B15-[1]Sheet1!$F$3)*[1]Sheet1!$H$3</f>
        <v>0</v>
      </c>
      <c r="E15">
        <f>MAX(0,B15-[1]Sheet1!$F$7)*[1]Sheet1!$H$7</f>
        <v>0</v>
      </c>
      <c r="F15">
        <f>MAX(0,B15-[1]Sheet1!$F$4)*[1]Sheet1!$H$4</f>
        <v>0</v>
      </c>
      <c r="G15">
        <f>MAX(0,B15-[1]Sheet1!$F$5)*[2]Sheet1!$E$26/50</f>
        <v>0</v>
      </c>
    </row>
    <row r="16" spans="1:8" x14ac:dyDescent="0.3">
      <c r="A16" s="3">
        <v>39752</v>
      </c>
      <c r="D16">
        <f>MAX(0,B16-[1]Sheet1!$F$3)*[1]Sheet1!$H$3</f>
        <v>0</v>
      </c>
      <c r="E16">
        <f>MAX(0,B16-[1]Sheet1!$F$7)*[1]Sheet1!$H$7</f>
        <v>0</v>
      </c>
      <c r="F16">
        <f>MAX(0,B16-[1]Sheet1!$F$4)*[1]Sheet1!$H$4</f>
        <v>0</v>
      </c>
      <c r="G16">
        <f>MAX(0,B16-[1]Sheet1!$F$5)*[2]Sheet1!$E$26/50</f>
        <v>0</v>
      </c>
    </row>
    <row r="17" spans="1:7" x14ac:dyDescent="0.3">
      <c r="A17" s="3">
        <v>39782</v>
      </c>
      <c r="D17">
        <f>MAX(0,B17-[1]Sheet1!$F$3)*[1]Sheet1!$H$3</f>
        <v>0</v>
      </c>
      <c r="E17">
        <f>MAX(0,B17-[1]Sheet1!$F$7)*[1]Sheet1!$H$7</f>
        <v>0</v>
      </c>
      <c r="F17">
        <f>MAX(0,B17-[1]Sheet1!$F$4)*[1]Sheet1!$H$4</f>
        <v>0</v>
      </c>
      <c r="G17">
        <f>MAX(0,B17-[1]Sheet1!$F$5)*[2]Sheet1!$E$26/50</f>
        <v>0</v>
      </c>
    </row>
    <row r="18" spans="1:7" x14ac:dyDescent="0.3">
      <c r="A18" s="3">
        <v>39813</v>
      </c>
      <c r="D18">
        <f>MAX(0,B18-[1]Sheet1!$F$3)*[1]Sheet1!$H$3</f>
        <v>0</v>
      </c>
      <c r="E18">
        <f>MAX(0,B18-[1]Sheet1!$F$7)*[1]Sheet1!$H$7</f>
        <v>0</v>
      </c>
      <c r="F18">
        <f>MAX(0,B18-[1]Sheet1!$F$4)*[1]Sheet1!$H$4</f>
        <v>0</v>
      </c>
      <c r="G18">
        <f>MAX(0,B18-[1]Sheet1!$F$5)*[2]Sheet1!$E$26/50</f>
        <v>0</v>
      </c>
    </row>
    <row r="19" spans="1:7" x14ac:dyDescent="0.3">
      <c r="A19" s="3">
        <v>39844</v>
      </c>
      <c r="D19">
        <f>MAX(0,B19-[1]Sheet1!$F$3)*[1]Sheet1!$H$3</f>
        <v>0</v>
      </c>
      <c r="E19">
        <f>MAX(0,B19-[1]Sheet1!$F$7)*[1]Sheet1!$H$7</f>
        <v>0</v>
      </c>
      <c r="F19">
        <f>MAX(0,B19-[1]Sheet1!$F$4)*[1]Sheet1!$H$4</f>
        <v>0</v>
      </c>
      <c r="G19">
        <f>MAX(0,B19-[1]Sheet1!$F$5)*[2]Sheet1!$E$26/50</f>
        <v>0</v>
      </c>
    </row>
    <row r="20" spans="1:7" x14ac:dyDescent="0.3">
      <c r="A20" s="3">
        <v>39872</v>
      </c>
      <c r="D20">
        <f>MAX(0,B20-[1]Sheet1!$F$3)*[1]Sheet1!$H$3</f>
        <v>0</v>
      </c>
      <c r="E20">
        <f>MAX(0,B20-[1]Sheet1!$F$7)*[1]Sheet1!$H$7</f>
        <v>0</v>
      </c>
      <c r="F20">
        <f>MAX(0,B20-[1]Sheet1!$F$4)*[1]Sheet1!$H$4</f>
        <v>0</v>
      </c>
      <c r="G20">
        <f>MAX(0,B20-[1]Sheet1!$F$5)*[2]Sheet1!$E$26/50</f>
        <v>0</v>
      </c>
    </row>
    <row r="21" spans="1:7" x14ac:dyDescent="0.3">
      <c r="A21" s="3">
        <v>39903</v>
      </c>
      <c r="D21">
        <f>MAX(0,B21-[1]Sheet1!$F$3)*[1]Sheet1!$H$3</f>
        <v>0</v>
      </c>
      <c r="E21">
        <f>MAX(0,B21-[1]Sheet1!$F$7)*[1]Sheet1!$H$7</f>
        <v>0</v>
      </c>
      <c r="F21">
        <f>MAX(0,B21-[1]Sheet1!$F$4)*[1]Sheet1!$H$4</f>
        <v>0</v>
      </c>
      <c r="G21">
        <f>MAX(0,B21-[1]Sheet1!$F$5)*[2]Sheet1!$E$26/50</f>
        <v>0</v>
      </c>
    </row>
    <row r="22" spans="1:7" x14ac:dyDescent="0.3">
      <c r="A22" s="3">
        <v>39933</v>
      </c>
      <c r="D22">
        <f>MAX(0,B22-[1]Sheet1!$F$3)*[1]Sheet1!$H$3</f>
        <v>0</v>
      </c>
      <c r="E22">
        <f>MAX(0,B22-[1]Sheet1!$F$7)*[1]Sheet1!$H$7</f>
        <v>0</v>
      </c>
      <c r="F22">
        <f>MAX(0,B22-[1]Sheet1!$F$4)*[1]Sheet1!$H$4</f>
        <v>0</v>
      </c>
      <c r="G22">
        <f>MAX(0,B22-[1]Sheet1!$F$5)*[2]Sheet1!$E$26/50</f>
        <v>0</v>
      </c>
    </row>
    <row r="23" spans="1:7" x14ac:dyDescent="0.3">
      <c r="A23" s="3">
        <v>39964</v>
      </c>
      <c r="D23">
        <f>MAX(0,B23-[1]Sheet1!$F$3)*[1]Sheet1!$H$3</f>
        <v>0</v>
      </c>
      <c r="E23">
        <f>MAX(0,B23-[1]Sheet1!$F$7)*[1]Sheet1!$H$7</f>
        <v>0</v>
      </c>
      <c r="F23">
        <f>MAX(0,B23-[1]Sheet1!$F$4)*[1]Sheet1!$H$4</f>
        <v>0</v>
      </c>
      <c r="G23">
        <f>MAX(0,B23-[1]Sheet1!$F$5)*[2]Sheet1!$E$26/50</f>
        <v>0</v>
      </c>
    </row>
    <row r="24" spans="1:7" x14ac:dyDescent="0.3">
      <c r="A24" s="3">
        <v>39994</v>
      </c>
      <c r="D24">
        <f>MAX(0,B24-[1]Sheet1!$F$3)*[1]Sheet1!$H$3</f>
        <v>0</v>
      </c>
      <c r="E24">
        <f>MAX(0,B24-[1]Sheet1!$F$7)*[1]Sheet1!$H$7</f>
        <v>0</v>
      </c>
      <c r="F24">
        <f>MAX(0,B24-[1]Sheet1!$F$4)*[1]Sheet1!$H$4</f>
        <v>0</v>
      </c>
      <c r="G24">
        <f>MAX(0,B24-[1]Sheet1!$F$5)*[2]Sheet1!$E$26/50</f>
        <v>0</v>
      </c>
    </row>
    <row r="25" spans="1:7" x14ac:dyDescent="0.3">
      <c r="A25" s="3">
        <v>40025</v>
      </c>
      <c r="D25">
        <f>MAX(0,B25-[1]Sheet1!$F$3)*[1]Sheet1!$H$3</f>
        <v>0</v>
      </c>
      <c r="E25">
        <f>MAX(0,B25-[1]Sheet1!$F$7)*[1]Sheet1!$H$7</f>
        <v>0</v>
      </c>
      <c r="F25">
        <f>MAX(0,B25-[1]Sheet1!$F$4)*[1]Sheet1!$H$4</f>
        <v>0</v>
      </c>
      <c r="G25">
        <f>MAX(0,B25-[1]Sheet1!$F$5)*[2]Sheet1!$E$26/50</f>
        <v>0</v>
      </c>
    </row>
    <row r="26" spans="1:7" x14ac:dyDescent="0.3">
      <c r="A26" s="3">
        <v>40056</v>
      </c>
      <c r="D26">
        <f>MAX(0,B26-[1]Sheet1!$F$3)*[1]Sheet1!$H$3</f>
        <v>0</v>
      </c>
      <c r="E26">
        <f>MAX(0,B26-[1]Sheet1!$F$7)*[1]Sheet1!$H$7</f>
        <v>0</v>
      </c>
      <c r="F26">
        <f>MAX(0,B26-[1]Sheet1!$F$4)*[1]Sheet1!$H$4</f>
        <v>0</v>
      </c>
      <c r="G26">
        <f>MAX(0,B26-[1]Sheet1!$F$5)*[2]Sheet1!$E$26/50</f>
        <v>0</v>
      </c>
    </row>
    <row r="27" spans="1:7" x14ac:dyDescent="0.3">
      <c r="A27" s="3">
        <v>40086</v>
      </c>
      <c r="D27">
        <f>MAX(0,B27-[1]Sheet1!$F$3)*[1]Sheet1!$H$3</f>
        <v>0</v>
      </c>
      <c r="E27">
        <f>MAX(0,B27-[1]Sheet1!$F$7)*[1]Sheet1!$H$7</f>
        <v>0</v>
      </c>
      <c r="F27">
        <f>MAX(0,B27-[1]Sheet1!$F$4)*[1]Sheet1!$H$4</f>
        <v>0</v>
      </c>
      <c r="G27">
        <f>MAX(0,B27-[1]Sheet1!$F$5)*[2]Sheet1!$E$26/50</f>
        <v>0</v>
      </c>
    </row>
    <row r="28" spans="1:7" x14ac:dyDescent="0.3">
      <c r="A28" s="3">
        <v>40117</v>
      </c>
      <c r="D28">
        <f>MAX(0,B28-[1]Sheet1!$F$3)*[1]Sheet1!$H$3</f>
        <v>0</v>
      </c>
      <c r="E28">
        <f>MAX(0,B28-[1]Sheet1!$F$7)*[1]Sheet1!$H$7</f>
        <v>0</v>
      </c>
      <c r="F28">
        <f>MAX(0,B28-[1]Sheet1!$F$4)*[1]Sheet1!$H$4</f>
        <v>0</v>
      </c>
      <c r="G28">
        <f>MAX(0,B28-[1]Sheet1!$F$5)*[2]Sheet1!$E$26/50</f>
        <v>0</v>
      </c>
    </row>
    <row r="29" spans="1:7" x14ac:dyDescent="0.3">
      <c r="A29" s="3">
        <v>40147</v>
      </c>
      <c r="D29">
        <f>MAX(0,B29-[1]Sheet1!$F$3)*[1]Sheet1!$H$3</f>
        <v>0</v>
      </c>
      <c r="E29">
        <f>MAX(0,B29-[1]Sheet1!$F$7)*[1]Sheet1!$H$7</f>
        <v>0</v>
      </c>
      <c r="F29">
        <f>MAX(0,B29-[1]Sheet1!$F$4)*[1]Sheet1!$H$4</f>
        <v>0</v>
      </c>
      <c r="G29">
        <f>MAX(0,B29-[1]Sheet1!$F$5)*[2]Sheet1!$E$26/50</f>
        <v>0</v>
      </c>
    </row>
    <row r="30" spans="1:7" x14ac:dyDescent="0.3">
      <c r="A30" s="3">
        <v>40178</v>
      </c>
      <c r="D30">
        <f>MAX(0,B30-[1]Sheet1!$F$3)*[1]Sheet1!$H$3</f>
        <v>0</v>
      </c>
      <c r="E30">
        <f>MAX(0,B30-[1]Sheet1!$F$7)*[1]Sheet1!$H$7</f>
        <v>0</v>
      </c>
      <c r="F30">
        <f>MAX(0,B30-[1]Sheet1!$F$4)*[1]Sheet1!$H$4</f>
        <v>0</v>
      </c>
      <c r="G30">
        <f>MAX(0,B30-[1]Sheet1!$F$5)*[2]Sheet1!$E$26/50</f>
        <v>0</v>
      </c>
    </row>
    <row r="31" spans="1:7" x14ac:dyDescent="0.3">
      <c r="A31" s="3">
        <v>40209</v>
      </c>
      <c r="D31">
        <f>MAX(0,B31-[1]Sheet1!$F$3)*[1]Sheet1!$H$3</f>
        <v>0</v>
      </c>
      <c r="E31">
        <f>MAX(0,B31-[1]Sheet1!$F$7)*[1]Sheet1!$H$7</f>
        <v>0</v>
      </c>
      <c r="F31">
        <f>MAX(0,B31-[1]Sheet1!$F$4)*[1]Sheet1!$H$4</f>
        <v>0</v>
      </c>
      <c r="G31">
        <f>MAX(0,B31-[1]Sheet1!$F$5)*[2]Sheet1!$E$26/50</f>
        <v>0</v>
      </c>
    </row>
    <row r="32" spans="1:7" x14ac:dyDescent="0.3">
      <c r="A32" s="3">
        <v>40237</v>
      </c>
      <c r="D32">
        <f>MAX(0,B32-[1]Sheet1!$F$3)*[1]Sheet1!$H$3</f>
        <v>0</v>
      </c>
      <c r="E32">
        <f>MAX(0,B32-[1]Sheet1!$F$7)*[1]Sheet1!$H$7</f>
        <v>0</v>
      </c>
      <c r="F32">
        <f>MAX(0,B32-[1]Sheet1!$F$4)*[1]Sheet1!$H$4</f>
        <v>0</v>
      </c>
      <c r="G32">
        <f>MAX(0,B32-[1]Sheet1!$F$5)*[2]Sheet1!$E$26/50</f>
        <v>0</v>
      </c>
    </row>
    <row r="33" spans="1:7" x14ac:dyDescent="0.3">
      <c r="A33" s="3">
        <v>40268</v>
      </c>
      <c r="D33">
        <f>MAX(0,B33-[1]Sheet1!$F$3)*[1]Sheet1!$H$3</f>
        <v>0</v>
      </c>
      <c r="E33">
        <f>MAX(0,B33-[1]Sheet1!$F$7)*[1]Sheet1!$H$7</f>
        <v>0</v>
      </c>
      <c r="F33">
        <f>MAX(0,B33-[1]Sheet1!$F$4)*[1]Sheet1!$H$4</f>
        <v>0</v>
      </c>
      <c r="G33">
        <f>MAX(0,B33-[1]Sheet1!$F$5)*[2]Sheet1!$E$26/50</f>
        <v>0</v>
      </c>
    </row>
    <row r="34" spans="1:7" x14ac:dyDescent="0.3">
      <c r="A34" s="3">
        <v>40298</v>
      </c>
      <c r="D34">
        <f>MAX(0,B34-[1]Sheet1!$F$3)*[1]Sheet1!$H$3</f>
        <v>0</v>
      </c>
      <c r="E34">
        <f>MAX(0,B34-[1]Sheet1!$F$7)*[1]Sheet1!$H$7</f>
        <v>0</v>
      </c>
      <c r="F34">
        <f>MAX(0,B34-[1]Sheet1!$F$4)*[1]Sheet1!$H$4</f>
        <v>0</v>
      </c>
      <c r="G34">
        <f>MAX(0,B34-[1]Sheet1!$F$5)*[2]Sheet1!$E$26/50</f>
        <v>0</v>
      </c>
    </row>
    <row r="35" spans="1:7" x14ac:dyDescent="0.3">
      <c r="A35" s="3">
        <v>40329</v>
      </c>
      <c r="D35">
        <f>MAX(0,B35-[1]Sheet1!$F$3)*[1]Sheet1!$H$3</f>
        <v>0</v>
      </c>
      <c r="E35">
        <f>MAX(0,B35-[1]Sheet1!$F$7)*[1]Sheet1!$H$7</f>
        <v>0</v>
      </c>
      <c r="F35">
        <f>MAX(0,B35-[1]Sheet1!$F$4)*[1]Sheet1!$H$4</f>
        <v>0</v>
      </c>
      <c r="G35">
        <f>MAX(0,B35-[1]Sheet1!$F$5)*[2]Sheet1!$E$26/50</f>
        <v>0</v>
      </c>
    </row>
    <row r="36" spans="1:7" x14ac:dyDescent="0.3">
      <c r="A36" s="3">
        <v>40359</v>
      </c>
      <c r="D36">
        <f>MAX(0,B36-[1]Sheet1!$F$3)*[1]Sheet1!$H$3</f>
        <v>0</v>
      </c>
      <c r="E36">
        <f>MAX(0,B36-[1]Sheet1!$F$7)*[1]Sheet1!$H$7</f>
        <v>0</v>
      </c>
      <c r="F36">
        <f>MAX(0,B36-[1]Sheet1!$F$4)*[1]Sheet1!$H$4</f>
        <v>0</v>
      </c>
      <c r="G36">
        <f>MAX(0,B36-[1]Sheet1!$F$5)*[2]Sheet1!$E$26/50</f>
        <v>0</v>
      </c>
    </row>
    <row r="37" spans="1:7" x14ac:dyDescent="0.3">
      <c r="A37" s="3">
        <v>40390</v>
      </c>
      <c r="D37">
        <f>MAX(0,B37-[1]Sheet1!$F$3)*[1]Sheet1!$H$3</f>
        <v>0</v>
      </c>
      <c r="E37">
        <f>MAX(0,B37-[1]Sheet1!$F$7)*[1]Sheet1!$H$7</f>
        <v>0</v>
      </c>
      <c r="F37">
        <f>MAX(0,B37-[1]Sheet1!$F$4)*[1]Sheet1!$H$4</f>
        <v>0</v>
      </c>
      <c r="G37">
        <f>MAX(0,B37-[1]Sheet1!$F$5)*[2]Sheet1!$E$26/50</f>
        <v>0</v>
      </c>
    </row>
    <row r="38" spans="1:7" x14ac:dyDescent="0.3">
      <c r="A38" s="3">
        <v>40421</v>
      </c>
      <c r="D38">
        <f>MAX(0,B38-[1]Sheet1!$F$3)*[1]Sheet1!$H$3</f>
        <v>0</v>
      </c>
      <c r="E38">
        <f>MAX(0,B38-[1]Sheet1!$F$7)*[1]Sheet1!$H$7</f>
        <v>0</v>
      </c>
      <c r="F38">
        <f>MAX(0,B38-[1]Sheet1!$F$4)*[1]Sheet1!$H$4</f>
        <v>0</v>
      </c>
      <c r="G38">
        <f>MAX(0,B38-[1]Sheet1!$F$5)*[2]Sheet1!$E$26/50</f>
        <v>0</v>
      </c>
    </row>
    <row r="39" spans="1:7" x14ac:dyDescent="0.3">
      <c r="A39" s="3">
        <v>40451</v>
      </c>
      <c r="D39">
        <f>MAX(0,B39-[1]Sheet1!$F$3)*[1]Sheet1!$H$3</f>
        <v>0</v>
      </c>
      <c r="E39">
        <f>MAX(0,B39-[1]Sheet1!$F$7)*[1]Sheet1!$H$7</f>
        <v>0</v>
      </c>
      <c r="F39">
        <f>MAX(0,B39-[1]Sheet1!$F$4)*[1]Sheet1!$H$4</f>
        <v>0</v>
      </c>
      <c r="G39">
        <f>MAX(0,B39-[1]Sheet1!$F$5)*[2]Sheet1!$E$26/50</f>
        <v>0</v>
      </c>
    </row>
    <row r="40" spans="1:7" x14ac:dyDescent="0.3">
      <c r="A40" s="3">
        <v>40482</v>
      </c>
      <c r="D40">
        <f>MAX(0,B40-[1]Sheet1!$F$3)*[1]Sheet1!$H$3</f>
        <v>0</v>
      </c>
      <c r="E40">
        <f>MAX(0,B40-[1]Sheet1!$F$7)*[1]Sheet1!$H$7</f>
        <v>0</v>
      </c>
      <c r="F40">
        <f>MAX(0,B40-[1]Sheet1!$F$4)*[1]Sheet1!$H$4</f>
        <v>0</v>
      </c>
      <c r="G40">
        <f>MAX(0,B40-[1]Sheet1!$F$5)*[2]Sheet1!$E$26/50</f>
        <v>0</v>
      </c>
    </row>
    <row r="41" spans="1:7" x14ac:dyDescent="0.3">
      <c r="A41" s="3">
        <v>40512</v>
      </c>
      <c r="D41">
        <f>MAX(0,B41-[1]Sheet1!$F$3)*[1]Sheet1!$H$3</f>
        <v>0</v>
      </c>
      <c r="E41">
        <f>MAX(0,B41-[1]Sheet1!$F$7)*[1]Sheet1!$H$7</f>
        <v>0</v>
      </c>
      <c r="F41">
        <f>MAX(0,B41-[1]Sheet1!$F$4)*[1]Sheet1!$H$4</f>
        <v>0</v>
      </c>
      <c r="G41">
        <f>MAX(0,B41-[1]Sheet1!$F$5)*[2]Sheet1!$E$26/50</f>
        <v>0</v>
      </c>
    </row>
    <row r="42" spans="1:7" x14ac:dyDescent="0.3">
      <c r="A42" s="3">
        <v>40543</v>
      </c>
      <c r="D42">
        <f>MAX(0,B42-[1]Sheet1!$F$3)*[1]Sheet1!$H$3</f>
        <v>0</v>
      </c>
      <c r="E42">
        <f>MAX(0,B42-[1]Sheet1!$F$7)*[1]Sheet1!$H$7</f>
        <v>0</v>
      </c>
      <c r="F42">
        <f>MAX(0,B42-[1]Sheet1!$F$4)*[1]Sheet1!$H$4</f>
        <v>0</v>
      </c>
      <c r="G42">
        <f>MAX(0,B42-[1]Sheet1!$F$5)*[2]Sheet1!$E$26/50</f>
        <v>0</v>
      </c>
    </row>
    <row r="43" spans="1:7" x14ac:dyDescent="0.3">
      <c r="A43" s="3">
        <v>40574</v>
      </c>
      <c r="D43">
        <f>MAX(0,B43-[1]Sheet1!$F$3)*[1]Sheet1!$H$3</f>
        <v>0</v>
      </c>
      <c r="E43">
        <f>MAX(0,B43-[1]Sheet1!$F$7)*[1]Sheet1!$H$7</f>
        <v>0</v>
      </c>
      <c r="F43">
        <f>MAX(0,B43-[1]Sheet1!$F$4)*[1]Sheet1!$H$4</f>
        <v>0</v>
      </c>
      <c r="G43">
        <f>MAX(0,B43-[1]Sheet1!$F$5)*[2]Sheet1!$E$26/50</f>
        <v>0</v>
      </c>
    </row>
    <row r="44" spans="1:7" x14ac:dyDescent="0.3">
      <c r="A44" s="3">
        <v>40602</v>
      </c>
      <c r="D44">
        <f>MAX(0,B44-[1]Sheet1!$F$3)*[1]Sheet1!$H$3</f>
        <v>0</v>
      </c>
      <c r="E44">
        <f>MAX(0,B44-[1]Sheet1!$F$7)*[1]Sheet1!$H$7</f>
        <v>0</v>
      </c>
      <c r="F44">
        <f>MAX(0,B44-[1]Sheet1!$F$4)*[1]Sheet1!$H$4</f>
        <v>0</v>
      </c>
      <c r="G44">
        <f>MAX(0,B44-[1]Sheet1!$F$5)*[2]Sheet1!$E$26/50</f>
        <v>0</v>
      </c>
    </row>
    <row r="45" spans="1:7" x14ac:dyDescent="0.3">
      <c r="A45" s="3">
        <v>40633</v>
      </c>
      <c r="D45">
        <f>MAX(0,B45-[1]Sheet1!$F$3)*[1]Sheet1!$H$3</f>
        <v>0</v>
      </c>
      <c r="E45">
        <f>MAX(0,B45-[1]Sheet1!$F$7)*[1]Sheet1!$H$7</f>
        <v>0</v>
      </c>
      <c r="F45">
        <f>MAX(0,B45-[1]Sheet1!$F$4)*[1]Sheet1!$H$4</f>
        <v>0</v>
      </c>
      <c r="G45">
        <f>MAX(0,B45-[1]Sheet1!$F$5)*[2]Sheet1!$E$26/50</f>
        <v>0</v>
      </c>
    </row>
    <row r="46" spans="1:7" x14ac:dyDescent="0.3">
      <c r="A46" s="3">
        <v>40663</v>
      </c>
      <c r="D46">
        <f>MAX(0,B46-[1]Sheet1!$F$3)*[1]Sheet1!$H$3</f>
        <v>0</v>
      </c>
      <c r="E46">
        <f>MAX(0,B46-[1]Sheet1!$F$7)*[1]Sheet1!$H$7</f>
        <v>0</v>
      </c>
      <c r="F46">
        <f>MAX(0,B46-[1]Sheet1!$F$4)*[1]Sheet1!$H$4</f>
        <v>0</v>
      </c>
      <c r="G46">
        <f>MAX(0,B46-[1]Sheet1!$F$5)*[2]Sheet1!$E$26/50</f>
        <v>0</v>
      </c>
    </row>
    <row r="47" spans="1:7" x14ac:dyDescent="0.3">
      <c r="A47" s="3">
        <v>40694</v>
      </c>
      <c r="D47">
        <f>MAX(0,B47-[1]Sheet1!$F$3)*[1]Sheet1!$H$3</f>
        <v>0</v>
      </c>
      <c r="E47">
        <f>MAX(0,B47-[1]Sheet1!$F$7)*[1]Sheet1!$H$7</f>
        <v>0</v>
      </c>
      <c r="F47">
        <f>MAX(0,B47-[1]Sheet1!$F$4)*[1]Sheet1!$H$4</f>
        <v>0</v>
      </c>
      <c r="G47">
        <f>MAX(0,B47-[1]Sheet1!$F$5)*[2]Sheet1!$E$26/50</f>
        <v>0</v>
      </c>
    </row>
    <row r="48" spans="1:7" x14ac:dyDescent="0.3">
      <c r="A48" s="3">
        <v>40724</v>
      </c>
      <c r="D48">
        <f>MAX(0,B48-[1]Sheet1!$F$3)*[1]Sheet1!$H$3</f>
        <v>0</v>
      </c>
      <c r="E48">
        <f>MAX(0,B48-[1]Sheet1!$F$7)*[1]Sheet1!$H$7</f>
        <v>0</v>
      </c>
      <c r="F48">
        <f>MAX(0,B48-[1]Sheet1!$F$4)*[1]Sheet1!$H$4</f>
        <v>0</v>
      </c>
      <c r="G48">
        <f>MAX(0,B48-[1]Sheet1!$F$5)*[2]Sheet1!$E$26/50</f>
        <v>0</v>
      </c>
    </row>
    <row r="49" spans="1:7" x14ac:dyDescent="0.3">
      <c r="A49" s="3">
        <v>40755</v>
      </c>
      <c r="D49">
        <f>MAX(0,B49-[1]Sheet1!$F$3)*[1]Sheet1!$H$3</f>
        <v>0</v>
      </c>
      <c r="E49">
        <f>MAX(0,B49-[1]Sheet1!$F$7)*[1]Sheet1!$H$7</f>
        <v>0</v>
      </c>
      <c r="F49">
        <f>MAX(0,B49-[1]Sheet1!$F$4)*[1]Sheet1!$H$4</f>
        <v>0</v>
      </c>
      <c r="G49">
        <f>MAX(0,B49-[1]Sheet1!$F$5)*[2]Sheet1!$E$26/50</f>
        <v>0</v>
      </c>
    </row>
    <row r="50" spans="1:7" x14ac:dyDescent="0.3">
      <c r="A50" s="3">
        <v>40786</v>
      </c>
      <c r="D50">
        <f>MAX(0,B50-[1]Sheet1!$F$3)*[1]Sheet1!$H$3</f>
        <v>0</v>
      </c>
      <c r="E50">
        <f>MAX(0,B50-[1]Sheet1!$F$7)*[1]Sheet1!$H$7</f>
        <v>0</v>
      </c>
      <c r="F50">
        <f>MAX(0,B50-[1]Sheet1!$F$4)*[1]Sheet1!$H$4</f>
        <v>0</v>
      </c>
      <c r="G50">
        <f>MAX(0,B50-[1]Sheet1!$F$5)*[2]Sheet1!$E$26/50</f>
        <v>0</v>
      </c>
    </row>
    <row r="51" spans="1:7" x14ac:dyDescent="0.3">
      <c r="A51" s="3">
        <v>40816</v>
      </c>
      <c r="D51">
        <f>MAX(0,B51-[1]Sheet1!$F$3)*[1]Sheet1!$H$3</f>
        <v>0</v>
      </c>
      <c r="E51">
        <f>MAX(0,B51-[1]Sheet1!$F$7)*[1]Sheet1!$H$7</f>
        <v>0</v>
      </c>
      <c r="F51">
        <f>MAX(0,B51-[1]Sheet1!$F$4)*[1]Sheet1!$H$4</f>
        <v>0</v>
      </c>
      <c r="G51">
        <f>MAX(0,B51-[1]Sheet1!$F$5)*[2]Sheet1!$E$26/50</f>
        <v>0</v>
      </c>
    </row>
    <row r="52" spans="1:7" x14ac:dyDescent="0.3">
      <c r="A52" s="3">
        <v>40847</v>
      </c>
      <c r="D52">
        <f>MAX(0,B52-[1]Sheet1!$F$3)*[1]Sheet1!$H$3</f>
        <v>0</v>
      </c>
      <c r="E52">
        <f>MAX(0,B52-[1]Sheet1!$F$7)*[1]Sheet1!$H$7</f>
        <v>0</v>
      </c>
      <c r="F52">
        <f>MAX(0,B52-[1]Sheet1!$F$4)*[1]Sheet1!$H$4</f>
        <v>0</v>
      </c>
      <c r="G52">
        <f>MAX(0,B52-[1]Sheet1!$F$5)*[2]Sheet1!$E$26/50</f>
        <v>0</v>
      </c>
    </row>
    <row r="53" spans="1:7" x14ac:dyDescent="0.3">
      <c r="A53" s="3">
        <v>40877</v>
      </c>
      <c r="D53">
        <f>MAX(0,B53-[1]Sheet1!$F$3)*[1]Sheet1!$H$3</f>
        <v>0</v>
      </c>
      <c r="E53">
        <f>MAX(0,B53-[1]Sheet1!$F$7)*[1]Sheet1!$H$7</f>
        <v>0</v>
      </c>
      <c r="F53">
        <f>MAX(0,B53-[1]Sheet1!$F$4)*[1]Sheet1!$H$4</f>
        <v>0</v>
      </c>
      <c r="G53">
        <f>MAX(0,B53-[1]Sheet1!$F$5)*[2]Sheet1!$E$26/50</f>
        <v>0</v>
      </c>
    </row>
    <row r="54" spans="1:7" x14ac:dyDescent="0.3">
      <c r="A54" s="3">
        <v>40908</v>
      </c>
      <c r="D54">
        <f>MAX(0,B54-[1]Sheet1!$F$3)*[1]Sheet1!$H$3</f>
        <v>0</v>
      </c>
      <c r="E54">
        <f>MAX(0,B54-[1]Sheet1!$F$7)*[1]Sheet1!$H$7</f>
        <v>0</v>
      </c>
      <c r="F54">
        <f>MAX(0,B54-[1]Sheet1!$F$4)*[1]Sheet1!$H$4</f>
        <v>0</v>
      </c>
      <c r="G54">
        <f>MAX(0,B54-[1]Sheet1!$F$5)*[2]Sheet1!$E$26/50</f>
        <v>0</v>
      </c>
    </row>
    <row r="55" spans="1:7" x14ac:dyDescent="0.3">
      <c r="A55" s="3">
        <v>40939</v>
      </c>
      <c r="D55">
        <f>MAX(0,B55-[1]Sheet1!$F$3)*[1]Sheet1!$H$3</f>
        <v>0</v>
      </c>
      <c r="E55">
        <f>MAX(0,B55-[1]Sheet1!$F$7)*[1]Sheet1!$H$7</f>
        <v>0</v>
      </c>
      <c r="F55">
        <f>MAX(0,B55-[1]Sheet1!$F$4)*[1]Sheet1!$H$4</f>
        <v>0</v>
      </c>
      <c r="G55">
        <f>MAX(0,B55-[1]Sheet1!$F$5)*[2]Sheet1!$E$26/50</f>
        <v>0</v>
      </c>
    </row>
    <row r="56" spans="1:7" x14ac:dyDescent="0.3">
      <c r="A56" s="3">
        <v>40968</v>
      </c>
      <c r="D56">
        <f>MAX(0,B56-[1]Sheet1!$F$3)*[1]Sheet1!$H$3</f>
        <v>0</v>
      </c>
      <c r="E56">
        <f>MAX(0,B56-[1]Sheet1!$F$7)*[1]Sheet1!$H$7</f>
        <v>0</v>
      </c>
      <c r="F56">
        <f>MAX(0,B56-[1]Sheet1!$F$4)*[1]Sheet1!$H$4</f>
        <v>0</v>
      </c>
      <c r="G56">
        <f>MAX(0,B56-[1]Sheet1!$F$5)*[2]Sheet1!$E$26/50</f>
        <v>0</v>
      </c>
    </row>
    <row r="57" spans="1:7" x14ac:dyDescent="0.3">
      <c r="A57" s="3">
        <v>40999</v>
      </c>
      <c r="D57">
        <f>MAX(0,B57-[1]Sheet1!$F$3)*[1]Sheet1!$H$3</f>
        <v>0</v>
      </c>
      <c r="E57">
        <f>MAX(0,B57-[1]Sheet1!$F$7)*[1]Sheet1!$H$7</f>
        <v>0</v>
      </c>
      <c r="F57">
        <f>MAX(0,B57-[1]Sheet1!$F$4)*[1]Sheet1!$H$4</f>
        <v>0</v>
      </c>
      <c r="G57">
        <f>MAX(0,B57-[1]Sheet1!$F$5)*[2]Sheet1!$E$26/50</f>
        <v>0</v>
      </c>
    </row>
    <row r="58" spans="1:7" x14ac:dyDescent="0.3">
      <c r="A58" s="3">
        <v>41029</v>
      </c>
      <c r="D58">
        <f>MAX(0,B58-[1]Sheet1!$F$3)*[1]Sheet1!$H$3</f>
        <v>0</v>
      </c>
      <c r="E58">
        <f>MAX(0,B58-[1]Sheet1!$F$7)*[1]Sheet1!$H$7</f>
        <v>0</v>
      </c>
      <c r="F58">
        <f>MAX(0,B58-[1]Sheet1!$F$4)*[1]Sheet1!$H$4</f>
        <v>0</v>
      </c>
      <c r="G58">
        <f>MAX(0,B58-[1]Sheet1!$F$5)*[2]Sheet1!$E$26/50</f>
        <v>0</v>
      </c>
    </row>
    <row r="59" spans="1:7" x14ac:dyDescent="0.3">
      <c r="A59" s="3">
        <v>41060</v>
      </c>
      <c r="D59">
        <f>MAX(0,B59-[1]Sheet1!$F$3)*[1]Sheet1!$H$3</f>
        <v>0</v>
      </c>
      <c r="E59">
        <f>MAX(0,B59-[1]Sheet1!$F$7)*[1]Sheet1!$H$7</f>
        <v>0</v>
      </c>
      <c r="F59">
        <f>MAX(0,B59-[1]Sheet1!$F$4)*[1]Sheet1!$H$4</f>
        <v>0</v>
      </c>
      <c r="G59">
        <f>MAX(0,B59-[1]Sheet1!$F$5)*[2]Sheet1!$E$26/50</f>
        <v>0</v>
      </c>
    </row>
    <row r="60" spans="1:7" x14ac:dyDescent="0.3">
      <c r="A60" s="3">
        <v>41090</v>
      </c>
      <c r="D60">
        <f>MAX(0,B60-[1]Sheet1!$F$3)*[1]Sheet1!$H$3</f>
        <v>0</v>
      </c>
      <c r="E60">
        <f>MAX(0,B60-[1]Sheet1!$F$7)*[1]Sheet1!$H$7</f>
        <v>0</v>
      </c>
      <c r="F60">
        <f>MAX(0,B60-[1]Sheet1!$F$4)*[1]Sheet1!$H$4</f>
        <v>0</v>
      </c>
      <c r="G60">
        <f>MAX(0,B60-[1]Sheet1!$F$5)*[2]Sheet1!$E$26/50</f>
        <v>0</v>
      </c>
    </row>
    <row r="61" spans="1:7" x14ac:dyDescent="0.3">
      <c r="A61" s="3">
        <v>41121</v>
      </c>
      <c r="D61">
        <f>MAX(0,B61-[1]Sheet1!$F$3)*[1]Sheet1!$H$3</f>
        <v>0</v>
      </c>
      <c r="E61">
        <f>MAX(0,B61-[1]Sheet1!$F$7)*[1]Sheet1!$H$7</f>
        <v>0</v>
      </c>
      <c r="F61">
        <f>MAX(0,B61-[1]Sheet1!$F$4)*[1]Sheet1!$H$4</f>
        <v>0</v>
      </c>
      <c r="G61">
        <f>MAX(0,B61-[1]Sheet1!$F$5)*[2]Sheet1!$E$26/50</f>
        <v>0</v>
      </c>
    </row>
    <row r="62" spans="1:7" x14ac:dyDescent="0.3">
      <c r="A62" s="3">
        <v>41152</v>
      </c>
      <c r="D62">
        <f>MAX(0,B62-[1]Sheet1!$F$3)*[1]Sheet1!$H$3</f>
        <v>0</v>
      </c>
      <c r="E62">
        <f>MAX(0,B62-[1]Sheet1!$F$7)*[1]Sheet1!$H$7</f>
        <v>0</v>
      </c>
      <c r="F62">
        <f>MAX(0,B62-[1]Sheet1!$F$4)*[1]Sheet1!$H$4</f>
        <v>0</v>
      </c>
      <c r="G62">
        <f>MAX(0,B62-[1]Sheet1!$F$5)*[2]Sheet1!$E$26/50</f>
        <v>0</v>
      </c>
    </row>
    <row r="63" spans="1:7" x14ac:dyDescent="0.3">
      <c r="A63" s="3">
        <v>41182</v>
      </c>
      <c r="D63">
        <f>MAX(0,B63-[1]Sheet1!$F$3)*[1]Sheet1!$H$3</f>
        <v>0</v>
      </c>
      <c r="E63">
        <f>MAX(0,B63-[1]Sheet1!$F$7)*[1]Sheet1!$H$7</f>
        <v>0</v>
      </c>
      <c r="F63">
        <f>MAX(0,B63-[1]Sheet1!$F$4)*[1]Sheet1!$H$4</f>
        <v>0</v>
      </c>
      <c r="G63">
        <f>MAX(0,B63-[1]Sheet1!$F$5)*[2]Sheet1!$E$26/50</f>
        <v>0</v>
      </c>
    </row>
    <row r="64" spans="1:7" x14ac:dyDescent="0.3">
      <c r="A64" s="3">
        <v>41213</v>
      </c>
      <c r="D64">
        <f>MAX(0,B64-[1]Sheet1!$F$3)*[1]Sheet1!$H$3</f>
        <v>0</v>
      </c>
      <c r="E64">
        <f>MAX(0,B64-[1]Sheet1!$F$7)*[1]Sheet1!$H$7</f>
        <v>0</v>
      </c>
      <c r="F64">
        <f>MAX(0,B64-[1]Sheet1!$F$4)*[1]Sheet1!$H$4</f>
        <v>0</v>
      </c>
      <c r="G64">
        <f>MAX(0,B64-[1]Sheet1!$F$5)*[2]Sheet1!$E$26/50</f>
        <v>0</v>
      </c>
    </row>
    <row r="65" spans="1:7" x14ac:dyDescent="0.3">
      <c r="A65" s="3">
        <v>41243</v>
      </c>
      <c r="D65">
        <f>MAX(0,B65-[1]Sheet1!$F$3)*[1]Sheet1!$H$3</f>
        <v>0</v>
      </c>
      <c r="E65">
        <f>MAX(0,B65-[1]Sheet1!$F$7)*[1]Sheet1!$H$7</f>
        <v>0</v>
      </c>
      <c r="F65">
        <f>MAX(0,B65-[1]Sheet1!$F$4)*[1]Sheet1!$H$4</f>
        <v>0</v>
      </c>
      <c r="G65">
        <f>MAX(0,B65-[1]Sheet1!$F$5)*[2]Sheet1!$E$26/50</f>
        <v>0</v>
      </c>
    </row>
    <row r="66" spans="1:7" x14ac:dyDescent="0.3">
      <c r="A66" s="3">
        <v>41274</v>
      </c>
      <c r="D66">
        <f>MAX(0,B66-[1]Sheet1!$F$3)*[1]Sheet1!$H$3</f>
        <v>0</v>
      </c>
      <c r="E66">
        <f>MAX(0,B66-[1]Sheet1!$F$7)*[1]Sheet1!$H$7</f>
        <v>0</v>
      </c>
      <c r="F66">
        <f>MAX(0,B66-[1]Sheet1!$F$4)*[1]Sheet1!$H$4</f>
        <v>0</v>
      </c>
      <c r="G66">
        <f>MAX(0,B66-[1]Sheet1!$F$5)*[2]Sheet1!$E$26/50</f>
        <v>0</v>
      </c>
    </row>
    <row r="67" spans="1:7" x14ac:dyDescent="0.3">
      <c r="A67" s="3">
        <v>41305</v>
      </c>
      <c r="D67">
        <f>MAX(0,B67-[1]Sheet1!$F$3)*[1]Sheet1!$H$3</f>
        <v>0</v>
      </c>
      <c r="E67">
        <f>MAX(0,B67-[1]Sheet1!$F$7)*[1]Sheet1!$H$7</f>
        <v>0</v>
      </c>
      <c r="F67">
        <f>MAX(0,B67-[1]Sheet1!$F$4)*[1]Sheet1!$H$4</f>
        <v>0</v>
      </c>
      <c r="G67">
        <f>MAX(0,B67-[1]Sheet1!$F$5)*[2]Sheet1!$E$26/50</f>
        <v>0</v>
      </c>
    </row>
    <row r="68" spans="1:7" x14ac:dyDescent="0.3">
      <c r="A68" s="3">
        <v>41333</v>
      </c>
      <c r="D68">
        <f>MAX(0,B68-[1]Sheet1!$F$3)*[1]Sheet1!$H$3</f>
        <v>0</v>
      </c>
      <c r="E68">
        <f>MAX(0,B68-[1]Sheet1!$F$7)*[1]Sheet1!$H$7</f>
        <v>0</v>
      </c>
      <c r="F68">
        <f>MAX(0,B68-[1]Sheet1!$F$4)*[1]Sheet1!$H$4</f>
        <v>0</v>
      </c>
      <c r="G68">
        <f>MAX(0,B68-[1]Sheet1!$F$5)*[2]Sheet1!$E$26/50</f>
        <v>0</v>
      </c>
    </row>
    <row r="69" spans="1:7" x14ac:dyDescent="0.3">
      <c r="A69" s="3">
        <v>41364</v>
      </c>
      <c r="D69">
        <f>MAX(0,B69-[1]Sheet1!$F$3)*[1]Sheet1!$H$3</f>
        <v>0</v>
      </c>
      <c r="E69">
        <f>MAX(0,B69-[1]Sheet1!$F$7)*[1]Sheet1!$H$7</f>
        <v>0</v>
      </c>
      <c r="F69">
        <f>MAX(0,B69-[1]Sheet1!$F$4)*[1]Sheet1!$H$4</f>
        <v>0</v>
      </c>
      <c r="G69">
        <f>MAX(0,B69-[1]Sheet1!$F$5)*[2]Sheet1!$E$26/50</f>
        <v>0</v>
      </c>
    </row>
    <row r="70" spans="1:7" x14ac:dyDescent="0.3">
      <c r="A70" s="3">
        <v>41394</v>
      </c>
      <c r="D70">
        <f>MAX(0,B70-[1]Sheet1!$F$3)*[1]Sheet1!$H$3</f>
        <v>0</v>
      </c>
      <c r="E70">
        <f>MAX(0,B70-[1]Sheet1!$F$7)*[1]Sheet1!$H$7</f>
        <v>0</v>
      </c>
      <c r="F70">
        <f>MAX(0,B70-[1]Sheet1!$F$4)*[1]Sheet1!$H$4</f>
        <v>0</v>
      </c>
      <c r="G70">
        <f>MAX(0,B70-[1]Sheet1!$F$5)*[2]Sheet1!$E$26/50</f>
        <v>0</v>
      </c>
    </row>
    <row r="71" spans="1:7" x14ac:dyDescent="0.3">
      <c r="A71" s="3">
        <v>41425</v>
      </c>
      <c r="D71">
        <f>MAX(0,B71-[1]Sheet1!$F$3)*[1]Sheet1!$H$3</f>
        <v>0</v>
      </c>
      <c r="E71">
        <f>MAX(0,B71-[1]Sheet1!$F$7)*[1]Sheet1!$H$7</f>
        <v>0</v>
      </c>
      <c r="F71">
        <f>MAX(0,B71-[1]Sheet1!$F$4)*[1]Sheet1!$H$4</f>
        <v>0</v>
      </c>
      <c r="G71">
        <f>MAX(0,B71-[1]Sheet1!$F$5)*[2]Sheet1!$E$26/50</f>
        <v>0</v>
      </c>
    </row>
    <row r="72" spans="1:7" x14ac:dyDescent="0.3">
      <c r="A72" s="3">
        <v>41455</v>
      </c>
      <c r="D72">
        <f>MAX(0,B72-[1]Sheet1!$F$3)*[1]Sheet1!$H$3</f>
        <v>0</v>
      </c>
      <c r="E72">
        <f>MAX(0,B72-[1]Sheet1!$F$7)*[1]Sheet1!$H$7</f>
        <v>0</v>
      </c>
      <c r="F72">
        <f>MAX(0,B72-[1]Sheet1!$F$4)*[1]Sheet1!$H$4</f>
        <v>0</v>
      </c>
      <c r="G72">
        <f>MAX(0,B72-[1]Sheet1!$F$5)*[2]Sheet1!$E$26/50</f>
        <v>0</v>
      </c>
    </row>
    <row r="73" spans="1:7" x14ac:dyDescent="0.3">
      <c r="A73" s="3">
        <v>41486</v>
      </c>
      <c r="D73">
        <f>MAX(0,B73-[1]Sheet1!$F$3)*[1]Sheet1!$H$3</f>
        <v>0</v>
      </c>
      <c r="E73">
        <f>MAX(0,B73-[1]Sheet1!$F$7)*[1]Sheet1!$H$7</f>
        <v>0</v>
      </c>
      <c r="F73">
        <f>MAX(0,B73-[1]Sheet1!$F$4)*[1]Sheet1!$H$4</f>
        <v>0</v>
      </c>
      <c r="G73">
        <f>MAX(0,B73-[1]Sheet1!$F$5)*[2]Sheet1!$E$26/50</f>
        <v>0</v>
      </c>
    </row>
    <row r="74" spans="1:7" x14ac:dyDescent="0.3">
      <c r="A74" s="3">
        <v>41517</v>
      </c>
      <c r="D74">
        <f>MAX(0,B74-[1]Sheet1!$F$3)*[1]Sheet1!$H$3</f>
        <v>0</v>
      </c>
      <c r="E74">
        <f>MAX(0,B74-[1]Sheet1!$F$7)*[1]Sheet1!$H$7</f>
        <v>0</v>
      </c>
      <c r="F74">
        <f>MAX(0,B74-[1]Sheet1!$F$4)*[1]Sheet1!$H$4</f>
        <v>0</v>
      </c>
      <c r="G74">
        <f>MAX(0,B74-[1]Sheet1!$F$5)*[2]Sheet1!$E$26/50</f>
        <v>0</v>
      </c>
    </row>
    <row r="75" spans="1:7" x14ac:dyDescent="0.3">
      <c r="A75" s="3">
        <v>41547</v>
      </c>
      <c r="D75">
        <f>MAX(0,B75-[1]Sheet1!$F$3)*[1]Sheet1!$H$3</f>
        <v>0</v>
      </c>
      <c r="E75">
        <f>MAX(0,B75-[1]Sheet1!$F$7)*[1]Sheet1!$H$7</f>
        <v>0</v>
      </c>
      <c r="F75">
        <f>MAX(0,B75-[1]Sheet1!$F$4)*[1]Sheet1!$H$4</f>
        <v>0</v>
      </c>
      <c r="G75">
        <f>MAX(0,B75-[1]Sheet1!$F$5)*[2]Sheet1!$E$26/50</f>
        <v>0</v>
      </c>
    </row>
    <row r="76" spans="1:7" x14ac:dyDescent="0.3">
      <c r="A76" s="3">
        <v>41578</v>
      </c>
      <c r="D76">
        <f>MAX(0,B76-[1]Sheet1!$F$3)*[1]Sheet1!$H$3</f>
        <v>0</v>
      </c>
      <c r="E76">
        <f>MAX(0,B76-[1]Sheet1!$F$7)*[1]Sheet1!$H$7</f>
        <v>0</v>
      </c>
      <c r="F76">
        <f>MAX(0,B76-[1]Sheet1!$F$4)*[1]Sheet1!$H$4</f>
        <v>0</v>
      </c>
      <c r="G76">
        <f>MAX(0,B76-[1]Sheet1!$F$5)*[2]Sheet1!$E$26/50</f>
        <v>0</v>
      </c>
    </row>
    <row r="77" spans="1:7" x14ac:dyDescent="0.3">
      <c r="A77" s="3">
        <v>41608</v>
      </c>
      <c r="D77">
        <f>MAX(0,B77-[1]Sheet1!$F$3)*[1]Sheet1!$H$3</f>
        <v>0</v>
      </c>
      <c r="E77">
        <f>MAX(0,B77-[1]Sheet1!$F$7)*[1]Sheet1!$H$7</f>
        <v>0</v>
      </c>
      <c r="F77">
        <f>MAX(0,B77-[1]Sheet1!$F$4)*[1]Sheet1!$H$4</f>
        <v>0</v>
      </c>
      <c r="G77">
        <f>MAX(0,B77-[1]Sheet1!$F$5)*[2]Sheet1!$E$26/50</f>
        <v>0</v>
      </c>
    </row>
    <row r="78" spans="1:7" x14ac:dyDescent="0.3">
      <c r="A78" s="3">
        <v>41639</v>
      </c>
      <c r="D78">
        <f>MAX(0,B78-[1]Sheet1!$F$3)*[1]Sheet1!$H$3</f>
        <v>0</v>
      </c>
      <c r="E78">
        <f>MAX(0,B78-[1]Sheet1!$F$7)*[1]Sheet1!$H$7</f>
        <v>0</v>
      </c>
      <c r="F78">
        <f>MAX(0,B78-[1]Sheet1!$F$4)*[1]Sheet1!$H$4</f>
        <v>0</v>
      </c>
      <c r="G78">
        <f>MAX(0,B78-[1]Sheet1!$F$5)*[2]Sheet1!$E$26/50</f>
        <v>0</v>
      </c>
    </row>
    <row r="79" spans="1:7" x14ac:dyDescent="0.3">
      <c r="A79" s="3">
        <v>41670</v>
      </c>
      <c r="D79">
        <f>MAX(0,B79-[1]Sheet1!$F$3)*[1]Sheet1!$H$3</f>
        <v>0</v>
      </c>
      <c r="E79">
        <f>MAX(0,B79-[1]Sheet1!$F$7)*[1]Sheet1!$H$7</f>
        <v>0</v>
      </c>
      <c r="F79">
        <f>MAX(0,B79-[1]Sheet1!$F$4)*[1]Sheet1!$H$4</f>
        <v>0</v>
      </c>
      <c r="G79">
        <f>MAX(0,B79-[1]Sheet1!$F$5)*[2]Sheet1!$E$26/50</f>
        <v>0</v>
      </c>
    </row>
    <row r="80" spans="1:7" x14ac:dyDescent="0.3">
      <c r="A80" s="3">
        <v>41698</v>
      </c>
      <c r="D80">
        <f>MAX(0,B80-[1]Sheet1!$F$3)*[1]Sheet1!$H$3</f>
        <v>0</v>
      </c>
      <c r="E80">
        <f>MAX(0,B80-[1]Sheet1!$F$7)*[1]Sheet1!$H$7</f>
        <v>0</v>
      </c>
      <c r="F80">
        <f>MAX(0,B80-[1]Sheet1!$F$4)*[1]Sheet1!$H$4</f>
        <v>0</v>
      </c>
      <c r="G80">
        <f>MAX(0,B80-[1]Sheet1!$F$5)*[2]Sheet1!$E$26/50</f>
        <v>0</v>
      </c>
    </row>
    <row r="81" spans="1:7" x14ac:dyDescent="0.3">
      <c r="A81" s="3">
        <v>41729</v>
      </c>
      <c r="D81">
        <f>MAX(0,B81-[1]Sheet1!$F$3)*[1]Sheet1!$H$3</f>
        <v>0</v>
      </c>
      <c r="E81">
        <f>MAX(0,B81-[1]Sheet1!$F$7)*[1]Sheet1!$H$7</f>
        <v>0</v>
      </c>
      <c r="F81">
        <f>MAX(0,B81-[1]Sheet1!$F$4)*[1]Sheet1!$H$4</f>
        <v>0</v>
      </c>
      <c r="G81">
        <f>MAX(0,B81-[1]Sheet1!$F$5)*[2]Sheet1!$E$26/50</f>
        <v>0</v>
      </c>
    </row>
    <row r="82" spans="1:7" x14ac:dyDescent="0.3">
      <c r="A82" s="3">
        <v>41759</v>
      </c>
      <c r="D82">
        <f>MAX(0,B82-[1]Sheet1!$F$3)*[1]Sheet1!$H$3</f>
        <v>0</v>
      </c>
      <c r="E82">
        <f>MAX(0,B82-[1]Sheet1!$F$7)*[1]Sheet1!$H$7</f>
        <v>0</v>
      </c>
      <c r="F82">
        <f>MAX(0,B82-[1]Sheet1!$F$4)*[1]Sheet1!$H$4</f>
        <v>0</v>
      </c>
      <c r="G82">
        <f>MAX(0,B82-[1]Sheet1!$F$5)*[2]Sheet1!$E$26/50</f>
        <v>0</v>
      </c>
    </row>
    <row r="83" spans="1:7" x14ac:dyDescent="0.3">
      <c r="A83" s="3">
        <v>41790</v>
      </c>
      <c r="D83">
        <f>MAX(0,B83-[1]Sheet1!$F$3)*[1]Sheet1!$H$3</f>
        <v>0</v>
      </c>
      <c r="E83">
        <f>MAX(0,B83-[1]Sheet1!$F$7)*[1]Sheet1!$H$7</f>
        <v>0</v>
      </c>
      <c r="F83">
        <f>MAX(0,B83-[1]Sheet1!$F$4)*[1]Sheet1!$H$4</f>
        <v>0</v>
      </c>
      <c r="G83">
        <f>MAX(0,B83-[1]Sheet1!$F$5)*[2]Sheet1!$E$26/50</f>
        <v>0</v>
      </c>
    </row>
    <row r="84" spans="1:7" x14ac:dyDescent="0.3">
      <c r="A84" s="3">
        <v>41820</v>
      </c>
      <c r="D84">
        <f>MAX(0,B84-[1]Sheet1!$F$3)*[1]Sheet1!$H$3</f>
        <v>0</v>
      </c>
      <c r="E84">
        <f>MAX(0,B84-[1]Sheet1!$F$7)*[1]Sheet1!$H$7</f>
        <v>0</v>
      </c>
      <c r="F84">
        <f>MAX(0,B84-[1]Sheet1!$F$4)*[1]Sheet1!$H$4</f>
        <v>0</v>
      </c>
      <c r="G84">
        <f>MAX(0,B84-[1]Sheet1!$F$5)*[2]Sheet1!$E$26/50</f>
        <v>0</v>
      </c>
    </row>
    <row r="85" spans="1:7" x14ac:dyDescent="0.3">
      <c r="A85" s="3">
        <v>41851</v>
      </c>
      <c r="D85">
        <f>MAX(0,B85-[1]Sheet1!$F$3)*[1]Sheet1!$H$3</f>
        <v>0</v>
      </c>
      <c r="E85">
        <f>MAX(0,B85-[1]Sheet1!$F$7)*[1]Sheet1!$H$7</f>
        <v>0</v>
      </c>
      <c r="F85">
        <f>MAX(0,B85-[1]Sheet1!$F$4)*[1]Sheet1!$H$4</f>
        <v>0</v>
      </c>
      <c r="G85">
        <f>MAX(0,B85-[1]Sheet1!$F$5)*[2]Sheet1!$E$26/50</f>
        <v>0</v>
      </c>
    </row>
    <row r="86" spans="1:7" x14ac:dyDescent="0.3">
      <c r="A86" s="3">
        <v>41882</v>
      </c>
      <c r="D86">
        <f>MAX(0,B86-[1]Sheet1!$F$3)*[1]Sheet1!$H$3</f>
        <v>0</v>
      </c>
      <c r="E86">
        <f>MAX(0,B86-[1]Sheet1!$F$7)*[1]Sheet1!$H$7</f>
        <v>0</v>
      </c>
      <c r="F86">
        <f>MAX(0,B86-[1]Sheet1!$F$4)*[1]Sheet1!$H$4</f>
        <v>0</v>
      </c>
      <c r="G86">
        <f>MAX(0,B86-[1]Sheet1!$F$5)*[2]Sheet1!$E$26/50</f>
        <v>0</v>
      </c>
    </row>
    <row r="87" spans="1:7" x14ac:dyDescent="0.3">
      <c r="A87" s="3">
        <v>41912</v>
      </c>
      <c r="D87">
        <f>MAX(0,B87-[1]Sheet1!$F$3)*[1]Sheet1!$H$3</f>
        <v>0</v>
      </c>
      <c r="E87">
        <f>MAX(0,B87-[1]Sheet1!$F$7)*[1]Sheet1!$H$7</f>
        <v>0</v>
      </c>
      <c r="F87">
        <f>MAX(0,B87-[1]Sheet1!$F$4)*[1]Sheet1!$H$4</f>
        <v>0</v>
      </c>
      <c r="G87">
        <f>MAX(0,B87-[1]Sheet1!$F$5)*[2]Sheet1!$E$26/50</f>
        <v>0</v>
      </c>
    </row>
    <row r="88" spans="1:7" x14ac:dyDescent="0.3">
      <c r="A88" s="3">
        <v>41943</v>
      </c>
      <c r="D88">
        <f>MAX(0,B88-[1]Sheet1!$F$3)*[1]Sheet1!$H$3</f>
        <v>0</v>
      </c>
      <c r="E88">
        <f>MAX(0,B88-[1]Sheet1!$F$7)*[1]Sheet1!$H$7</f>
        <v>0</v>
      </c>
      <c r="F88">
        <f>MAX(0,B88-[1]Sheet1!$F$4)*[1]Sheet1!$H$4</f>
        <v>0</v>
      </c>
      <c r="G88">
        <f>MAX(0,B88-[1]Sheet1!$F$5)*[2]Sheet1!$E$26/50</f>
        <v>0</v>
      </c>
    </row>
    <row r="89" spans="1:7" x14ac:dyDescent="0.3">
      <c r="A89" s="3">
        <v>41973</v>
      </c>
      <c r="D89">
        <f>MAX(0,B89-[1]Sheet1!$F$3)*[1]Sheet1!$H$3</f>
        <v>0</v>
      </c>
      <c r="E89">
        <f>MAX(0,B89-[1]Sheet1!$F$7)*[1]Sheet1!$H$7</f>
        <v>0</v>
      </c>
      <c r="F89">
        <f>MAX(0,B89-[1]Sheet1!$F$4)*[1]Sheet1!$H$4</f>
        <v>0</v>
      </c>
      <c r="G89">
        <f>MAX(0,B89-[1]Sheet1!$F$5)*[2]Sheet1!$E$26/50</f>
        <v>0</v>
      </c>
    </row>
    <row r="90" spans="1:7" x14ac:dyDescent="0.3">
      <c r="A90" s="3">
        <v>42004</v>
      </c>
      <c r="D90">
        <f>MAX(0,B90-[1]Sheet1!$F$3)*[1]Sheet1!$H$3</f>
        <v>0</v>
      </c>
      <c r="E90">
        <f>MAX(0,B90-[1]Sheet1!$F$7)*[1]Sheet1!$H$7</f>
        <v>0</v>
      </c>
      <c r="F90">
        <f>MAX(0,B90-[1]Sheet1!$F$4)*[1]Sheet1!$H$4</f>
        <v>0</v>
      </c>
      <c r="G90">
        <f>MAX(0,B90-[1]Sheet1!$F$5)*[2]Sheet1!$E$26/50</f>
        <v>0</v>
      </c>
    </row>
    <row r="91" spans="1:7" x14ac:dyDescent="0.3">
      <c r="A91" s="3">
        <v>42035</v>
      </c>
      <c r="D91">
        <f>MAX(0,B91-[1]Sheet1!$F$3)*[1]Sheet1!$H$3</f>
        <v>0</v>
      </c>
      <c r="E91">
        <f>MAX(0,B91-[1]Sheet1!$F$7)*[1]Sheet1!$H$7</f>
        <v>0</v>
      </c>
      <c r="F91">
        <f>MAX(0,B91-[1]Sheet1!$F$4)*[1]Sheet1!$H$4</f>
        <v>0</v>
      </c>
      <c r="G91">
        <f>MAX(0,B91-[1]Sheet1!$F$5)*[2]Sheet1!$E$26/50</f>
        <v>0</v>
      </c>
    </row>
    <row r="92" spans="1:7" x14ac:dyDescent="0.3">
      <c r="A92" s="3">
        <v>42063</v>
      </c>
      <c r="D92">
        <f>MAX(0,B92-[1]Sheet1!$F$3)*[1]Sheet1!$H$3</f>
        <v>0</v>
      </c>
      <c r="E92">
        <f>MAX(0,B92-[1]Sheet1!$F$7)*[1]Sheet1!$H$7</f>
        <v>0</v>
      </c>
      <c r="F92">
        <f>MAX(0,B92-[1]Sheet1!$F$4)*[1]Sheet1!$H$4</f>
        <v>0</v>
      </c>
      <c r="G92">
        <f>MAX(0,B92-[1]Sheet1!$F$5)*[2]Sheet1!$E$26/50</f>
        <v>0</v>
      </c>
    </row>
    <row r="93" spans="1:7" x14ac:dyDescent="0.3">
      <c r="A93" s="3">
        <v>42094</v>
      </c>
      <c r="D93">
        <f>MAX(0,B93-[1]Sheet1!$F$3)*[1]Sheet1!$H$3</f>
        <v>0</v>
      </c>
      <c r="E93">
        <f>MAX(0,B93-[1]Sheet1!$F$7)*[1]Sheet1!$H$7</f>
        <v>0</v>
      </c>
      <c r="F93">
        <f>MAX(0,B93-[1]Sheet1!$F$4)*[1]Sheet1!$H$4</f>
        <v>0</v>
      </c>
      <c r="G93">
        <f>MAX(0,B93-[1]Sheet1!$F$5)*[2]Sheet1!$E$26/50</f>
        <v>0</v>
      </c>
    </row>
    <row r="94" spans="1:7" x14ac:dyDescent="0.3">
      <c r="A94" s="3">
        <v>42124</v>
      </c>
      <c r="D94">
        <f>MAX(0,B94-[1]Sheet1!$F$3)*[1]Sheet1!$H$3</f>
        <v>0</v>
      </c>
      <c r="E94">
        <f>MAX(0,B94-[1]Sheet1!$F$7)*[1]Sheet1!$H$7</f>
        <v>0</v>
      </c>
      <c r="F94">
        <f>MAX(0,B94-[1]Sheet1!$F$4)*[1]Sheet1!$H$4</f>
        <v>0</v>
      </c>
      <c r="G94">
        <f>MAX(0,B94-[1]Sheet1!$F$5)*[2]Sheet1!$E$26/50</f>
        <v>0</v>
      </c>
    </row>
    <row r="95" spans="1:7" x14ac:dyDescent="0.3">
      <c r="A95" s="3">
        <v>42155</v>
      </c>
      <c r="D95">
        <f>MAX(0,B95-[1]Sheet1!$F$3)*[1]Sheet1!$H$3</f>
        <v>0</v>
      </c>
      <c r="E95">
        <f>MAX(0,B95-[1]Sheet1!$F$7)*[1]Sheet1!$H$7</f>
        <v>0</v>
      </c>
      <c r="F95">
        <f>MAX(0,B95-[1]Sheet1!$F$4)*[1]Sheet1!$H$4</f>
        <v>0</v>
      </c>
      <c r="G95">
        <f>MAX(0,B95-[1]Sheet1!$F$5)*[2]Sheet1!$E$26/50</f>
        <v>0</v>
      </c>
    </row>
    <row r="96" spans="1:7" x14ac:dyDescent="0.3">
      <c r="A96" s="3">
        <v>42185</v>
      </c>
      <c r="D96">
        <f>MAX(0,B96-[1]Sheet1!$F$3)*[1]Sheet1!$H$3</f>
        <v>0</v>
      </c>
      <c r="E96">
        <f>MAX(0,B96-[1]Sheet1!$F$7)*[1]Sheet1!$H$7</f>
        <v>0</v>
      </c>
      <c r="F96">
        <f>MAX(0,B96-[1]Sheet1!$F$4)*[1]Sheet1!$H$4</f>
        <v>0</v>
      </c>
      <c r="G96">
        <f>MAX(0,B96-[1]Sheet1!$F$5)*[2]Sheet1!$E$26/50</f>
        <v>0</v>
      </c>
    </row>
    <row r="97" spans="1:7" x14ac:dyDescent="0.3">
      <c r="A97" s="3">
        <v>42216</v>
      </c>
      <c r="D97">
        <f>MAX(0,B97-[1]Sheet1!$F$3)*[1]Sheet1!$H$3</f>
        <v>0</v>
      </c>
      <c r="E97">
        <f>MAX(0,B97-[1]Sheet1!$F$7)*[1]Sheet1!$H$7</f>
        <v>0</v>
      </c>
      <c r="F97">
        <f>MAX(0,B97-[1]Sheet1!$F$4)*[1]Sheet1!$H$4</f>
        <v>0</v>
      </c>
      <c r="G97">
        <f>MAX(0,B97-[1]Sheet1!$F$5)*[2]Sheet1!$E$26/50</f>
        <v>0</v>
      </c>
    </row>
    <row r="98" spans="1:7" x14ac:dyDescent="0.3">
      <c r="A98" s="3">
        <v>42247</v>
      </c>
      <c r="D98">
        <f>MAX(0,B98-[1]Sheet1!$F$3)*[1]Sheet1!$H$3</f>
        <v>0</v>
      </c>
      <c r="E98">
        <f>MAX(0,B98-[1]Sheet1!$F$7)*[1]Sheet1!$H$7</f>
        <v>0</v>
      </c>
      <c r="F98">
        <f>MAX(0,B98-[1]Sheet1!$F$4)*[1]Sheet1!$H$4</f>
        <v>0</v>
      </c>
      <c r="G98">
        <f>MAX(0,B98-[1]Sheet1!$F$5)*[2]Sheet1!$E$26/50</f>
        <v>0</v>
      </c>
    </row>
    <row r="99" spans="1:7" x14ac:dyDescent="0.3">
      <c r="A99" s="3">
        <v>42277</v>
      </c>
      <c r="D99">
        <f>MAX(0,B99-[1]Sheet1!$F$3)*[1]Sheet1!$H$3</f>
        <v>0</v>
      </c>
      <c r="E99">
        <f>MAX(0,B99-[1]Sheet1!$F$7)*[1]Sheet1!$H$7</f>
        <v>0</v>
      </c>
      <c r="F99">
        <f>MAX(0,B99-[1]Sheet1!$F$4)*[1]Sheet1!$H$4</f>
        <v>0</v>
      </c>
      <c r="G99">
        <f>MAX(0,B99-[1]Sheet1!$F$5)*[2]Sheet1!$E$26/50</f>
        <v>0</v>
      </c>
    </row>
    <row r="100" spans="1:7" x14ac:dyDescent="0.3">
      <c r="A100" s="3">
        <v>42308</v>
      </c>
      <c r="D100">
        <f>MAX(0,B100-[1]Sheet1!$F$3)*[1]Sheet1!$H$3</f>
        <v>0</v>
      </c>
      <c r="E100">
        <f>MAX(0,B100-[1]Sheet1!$F$7)*[1]Sheet1!$H$7</f>
        <v>0</v>
      </c>
      <c r="F100">
        <f>MAX(0,B100-[1]Sheet1!$F$4)*[1]Sheet1!$H$4</f>
        <v>0</v>
      </c>
      <c r="G100">
        <f>MAX(0,B100-[1]Sheet1!$F$5)*[2]Sheet1!$E$26/50</f>
        <v>0</v>
      </c>
    </row>
    <row r="101" spans="1:7" x14ac:dyDescent="0.3">
      <c r="A101" s="3">
        <v>42338</v>
      </c>
      <c r="D101">
        <f>MAX(0,B101-[1]Sheet1!$F$3)*[1]Sheet1!$H$3</f>
        <v>0</v>
      </c>
      <c r="E101">
        <f>MAX(0,B101-[1]Sheet1!$F$7)*[1]Sheet1!$H$7</f>
        <v>0</v>
      </c>
      <c r="F101">
        <f>MAX(0,B101-[1]Sheet1!$F$4)*[1]Sheet1!$H$4</f>
        <v>0</v>
      </c>
      <c r="G101">
        <f>MAX(0,B101-[1]Sheet1!$F$5)*[2]Sheet1!$E$26/50</f>
        <v>0</v>
      </c>
    </row>
    <row r="102" spans="1:7" x14ac:dyDescent="0.3">
      <c r="A102" s="3">
        <v>42369</v>
      </c>
      <c r="D102">
        <f>MAX(0,B102-[1]Sheet1!$F$3)*[1]Sheet1!$H$3</f>
        <v>0</v>
      </c>
      <c r="E102">
        <f>MAX(0,B102-[1]Sheet1!$F$7)*[1]Sheet1!$H$7</f>
        <v>0</v>
      </c>
      <c r="F102">
        <f>MAX(0,B102-[1]Sheet1!$F$4)*[1]Sheet1!$H$4</f>
        <v>0</v>
      </c>
      <c r="G102">
        <f>MAX(0,B102-[1]Sheet1!$F$5)*[2]Sheet1!$E$26/50</f>
        <v>0</v>
      </c>
    </row>
    <row r="103" spans="1:7" x14ac:dyDescent="0.3">
      <c r="A103" s="3">
        <v>42400</v>
      </c>
      <c r="D103">
        <f>MAX(0,B103-[1]Sheet1!$F$3)*[1]Sheet1!$H$3</f>
        <v>0</v>
      </c>
      <c r="E103">
        <f>MAX(0,B103-[1]Sheet1!$F$7)*[1]Sheet1!$H$7</f>
        <v>0</v>
      </c>
      <c r="F103">
        <f>MAX(0,B103-[1]Sheet1!$F$4)*[1]Sheet1!$H$4</f>
        <v>0</v>
      </c>
      <c r="G103">
        <f>MAX(0,B103-[1]Sheet1!$F$5)*[2]Sheet1!$E$26/50</f>
        <v>0</v>
      </c>
    </row>
    <row r="104" spans="1:7" x14ac:dyDescent="0.3">
      <c r="A104" s="3">
        <v>42429</v>
      </c>
      <c r="D104">
        <f>MAX(0,B104-[1]Sheet1!$F$3)*[1]Sheet1!$H$3</f>
        <v>0</v>
      </c>
      <c r="E104">
        <f>MAX(0,B104-[1]Sheet1!$F$7)*[1]Sheet1!$H$7</f>
        <v>0</v>
      </c>
      <c r="F104">
        <f>MAX(0,B104-[1]Sheet1!$F$4)*[1]Sheet1!$H$4</f>
        <v>0</v>
      </c>
      <c r="G104">
        <f>MAX(0,B104-[1]Sheet1!$F$5)*[2]Sheet1!$E$26/50</f>
        <v>0</v>
      </c>
    </row>
    <row r="105" spans="1:7" x14ac:dyDescent="0.3">
      <c r="A105" s="3">
        <v>42460</v>
      </c>
      <c r="D105">
        <f>MAX(0,B105-[1]Sheet1!$F$3)*[1]Sheet1!$H$3</f>
        <v>0</v>
      </c>
      <c r="E105">
        <f>MAX(0,B105-[1]Sheet1!$F$7)*[1]Sheet1!$H$7</f>
        <v>0</v>
      </c>
      <c r="F105">
        <f>MAX(0,B105-[1]Sheet1!$F$4)*[1]Sheet1!$H$4</f>
        <v>0</v>
      </c>
      <c r="G105">
        <f>MAX(0,B105-[1]Sheet1!$F$5)*[2]Sheet1!$E$26/50</f>
        <v>0</v>
      </c>
    </row>
    <row r="106" spans="1:7" x14ac:dyDescent="0.3">
      <c r="A106" s="3">
        <v>42490</v>
      </c>
      <c r="D106">
        <f>MAX(0,B106-[1]Sheet1!$F$3)*[1]Sheet1!$H$3</f>
        <v>0</v>
      </c>
      <c r="E106">
        <f>MAX(0,B106-[1]Sheet1!$F$7)*[1]Sheet1!$H$7</f>
        <v>0</v>
      </c>
      <c r="F106">
        <f>MAX(0,B106-[1]Sheet1!$F$4)*[1]Sheet1!$H$4</f>
        <v>0</v>
      </c>
      <c r="G106">
        <f>MAX(0,B106-[1]Sheet1!$F$5)*[2]Sheet1!$E$26/50</f>
        <v>0</v>
      </c>
    </row>
    <row r="107" spans="1:7" x14ac:dyDescent="0.3">
      <c r="A107" s="3">
        <v>42521</v>
      </c>
      <c r="D107">
        <f>MAX(0,B107-[1]Sheet1!$F$3)*[1]Sheet1!$H$3</f>
        <v>0</v>
      </c>
      <c r="E107">
        <f>MAX(0,B107-[1]Sheet1!$F$7)*[1]Sheet1!$H$7</f>
        <v>0</v>
      </c>
      <c r="F107">
        <f>MAX(0,B107-[1]Sheet1!$F$4)*[1]Sheet1!$H$4</f>
        <v>0</v>
      </c>
      <c r="G107">
        <f>MAX(0,B107-[1]Sheet1!$F$5)*[2]Sheet1!$E$26/50</f>
        <v>0</v>
      </c>
    </row>
    <row r="108" spans="1:7" x14ac:dyDescent="0.3">
      <c r="A108" s="3">
        <v>42551</v>
      </c>
      <c r="D108">
        <f>MAX(0,B108-[1]Sheet1!$F$3)*[1]Sheet1!$H$3</f>
        <v>0</v>
      </c>
      <c r="E108">
        <f>MAX(0,B108-[1]Sheet1!$F$7)*[1]Sheet1!$H$7</f>
        <v>0</v>
      </c>
      <c r="F108">
        <f>MAX(0,B108-[1]Sheet1!$F$4)*[1]Sheet1!$H$4</f>
        <v>0</v>
      </c>
      <c r="G108">
        <f>MAX(0,B108-[1]Sheet1!$F$5)*[2]Sheet1!$E$26/50</f>
        <v>0</v>
      </c>
    </row>
    <row r="109" spans="1:7" x14ac:dyDescent="0.3">
      <c r="A109" s="3">
        <v>42582</v>
      </c>
      <c r="D109">
        <f>MAX(0,B109-[1]Sheet1!$F$3)*[1]Sheet1!$H$3</f>
        <v>0</v>
      </c>
      <c r="E109">
        <f>MAX(0,B109-[1]Sheet1!$F$7)*[1]Sheet1!$H$7</f>
        <v>0</v>
      </c>
      <c r="F109">
        <f>MAX(0,B109-[1]Sheet1!$F$4)*[1]Sheet1!$H$4</f>
        <v>0</v>
      </c>
      <c r="G109">
        <f>MAX(0,B109-[1]Sheet1!$F$5)*[2]Sheet1!$E$26/50</f>
        <v>0</v>
      </c>
    </row>
    <row r="110" spans="1:7" x14ac:dyDescent="0.3">
      <c r="A110" s="3">
        <v>42613</v>
      </c>
      <c r="D110">
        <f>MAX(0,B110-[1]Sheet1!$F$3)*[1]Sheet1!$H$3</f>
        <v>0</v>
      </c>
      <c r="E110">
        <f>MAX(0,B110-[1]Sheet1!$F$7)*[1]Sheet1!$H$7</f>
        <v>0</v>
      </c>
      <c r="F110">
        <f>MAX(0,B110-[1]Sheet1!$F$4)*[1]Sheet1!$H$4</f>
        <v>0</v>
      </c>
      <c r="G110">
        <f>MAX(0,B110-[1]Sheet1!$F$5)*[2]Sheet1!$E$26/50</f>
        <v>0</v>
      </c>
    </row>
    <row r="111" spans="1:7" x14ac:dyDescent="0.3">
      <c r="A111" s="3">
        <v>42643</v>
      </c>
      <c r="D111">
        <f>MAX(0,B111-[1]Sheet1!$F$3)*[1]Sheet1!$H$3</f>
        <v>0</v>
      </c>
      <c r="E111">
        <f>MAX(0,B111-[1]Sheet1!$F$7)*[1]Sheet1!$H$7</f>
        <v>0</v>
      </c>
      <c r="F111">
        <f>MAX(0,B111-[1]Sheet1!$F$4)*[1]Sheet1!$H$4</f>
        <v>0</v>
      </c>
      <c r="G111">
        <f>MAX(0,B111-[1]Sheet1!$F$5)*[2]Sheet1!$E$26/50</f>
        <v>0</v>
      </c>
    </row>
    <row r="112" spans="1:7" x14ac:dyDescent="0.3">
      <c r="A112" s="3">
        <v>42674</v>
      </c>
      <c r="D112">
        <f>MAX(0,B112-[1]Sheet1!$F$3)*[1]Sheet1!$H$3</f>
        <v>0</v>
      </c>
      <c r="E112">
        <f>MAX(0,B112-[1]Sheet1!$F$7)*[1]Sheet1!$H$7</f>
        <v>0</v>
      </c>
      <c r="F112">
        <f>MAX(0,B112-[1]Sheet1!$F$4)*[1]Sheet1!$H$4</f>
        <v>0</v>
      </c>
      <c r="G112">
        <f>MAX(0,B112-[1]Sheet1!$F$5)*[2]Sheet1!$E$26/50</f>
        <v>0</v>
      </c>
    </row>
    <row r="113" spans="1:7" x14ac:dyDescent="0.3">
      <c r="A113" s="3">
        <v>42704</v>
      </c>
      <c r="D113">
        <f>MAX(0,B113-[1]Sheet1!$F$3)*[1]Sheet1!$H$3</f>
        <v>0</v>
      </c>
      <c r="E113">
        <f>MAX(0,B113-[1]Sheet1!$F$7)*[1]Sheet1!$H$7</f>
        <v>0</v>
      </c>
      <c r="F113">
        <f>MAX(0,B113-[1]Sheet1!$F$4)*[1]Sheet1!$H$4</f>
        <v>0</v>
      </c>
      <c r="G113">
        <f>MAX(0,B113-[1]Sheet1!$F$5)*[2]Sheet1!$E$26/50</f>
        <v>0</v>
      </c>
    </row>
    <row r="114" spans="1:7" x14ac:dyDescent="0.3">
      <c r="A114" s="3">
        <v>42735</v>
      </c>
      <c r="D114">
        <f>MAX(0,B114-[1]Sheet1!$F$3)*[1]Sheet1!$H$3</f>
        <v>0</v>
      </c>
      <c r="E114">
        <f>MAX(0,B114-[1]Sheet1!$F$7)*[1]Sheet1!$H$7</f>
        <v>0</v>
      </c>
      <c r="F114">
        <f>MAX(0,B114-[1]Sheet1!$F$4)*[1]Sheet1!$H$4</f>
        <v>0</v>
      </c>
      <c r="G114">
        <f>MAX(0,B114-[1]Sheet1!$F$5)*[2]Sheet1!$E$26/50</f>
        <v>0</v>
      </c>
    </row>
    <row r="115" spans="1:7" x14ac:dyDescent="0.3">
      <c r="A115" s="3">
        <v>42766</v>
      </c>
      <c r="D115">
        <f>MAX(0,B115-[1]Sheet1!$F$3)*[1]Sheet1!$H$3</f>
        <v>0</v>
      </c>
      <c r="E115">
        <f>MAX(0,B115-[1]Sheet1!$F$7)*[1]Sheet1!$H$7</f>
        <v>0</v>
      </c>
      <c r="F115">
        <f>MAX(0,B115-[1]Sheet1!$F$4)*[1]Sheet1!$H$4</f>
        <v>0</v>
      </c>
      <c r="G115">
        <f>MAX(0,B115-[1]Sheet1!$F$5)*[2]Sheet1!$E$26/50</f>
        <v>0</v>
      </c>
    </row>
    <row r="116" spans="1:7" x14ac:dyDescent="0.3">
      <c r="A116" s="3">
        <v>42794</v>
      </c>
      <c r="D116">
        <f>MAX(0,B116-[1]Sheet1!$F$3)*[1]Sheet1!$H$3</f>
        <v>0</v>
      </c>
      <c r="E116">
        <f>MAX(0,B116-[1]Sheet1!$F$7)*[1]Sheet1!$H$7</f>
        <v>0</v>
      </c>
      <c r="F116">
        <f>MAX(0,B116-[1]Sheet1!$F$4)*[1]Sheet1!$H$4</f>
        <v>0</v>
      </c>
      <c r="G116">
        <f>MAX(0,B116-[1]Sheet1!$F$5)*[2]Sheet1!$E$26/50</f>
        <v>0</v>
      </c>
    </row>
    <row r="117" spans="1:7" x14ac:dyDescent="0.3">
      <c r="A117" s="3">
        <v>42825</v>
      </c>
      <c r="D117">
        <f>MAX(0,B117-[1]Sheet1!$F$3)*[1]Sheet1!$H$3</f>
        <v>0</v>
      </c>
      <c r="E117">
        <f>MAX(0,B117-[1]Sheet1!$F$7)*[1]Sheet1!$H$7</f>
        <v>0</v>
      </c>
      <c r="F117">
        <f>MAX(0,B117-[1]Sheet1!$F$4)*[1]Sheet1!$H$4</f>
        <v>0</v>
      </c>
      <c r="G117">
        <f>MAX(0,B117-[1]Sheet1!$F$5)*[2]Sheet1!$E$26/50</f>
        <v>0</v>
      </c>
    </row>
    <row r="118" spans="1:7" x14ac:dyDescent="0.3">
      <c r="A118" s="3">
        <v>42855</v>
      </c>
      <c r="D118">
        <f>MAX(0,B118-[1]Sheet1!$F$3)*[1]Sheet1!$H$3</f>
        <v>0</v>
      </c>
      <c r="E118">
        <f>MAX(0,B118-[1]Sheet1!$F$7)*[1]Sheet1!$H$7</f>
        <v>0</v>
      </c>
      <c r="F118">
        <f>MAX(0,B118-[1]Sheet1!$F$4)*[1]Sheet1!$H$4</f>
        <v>0</v>
      </c>
      <c r="G118">
        <f>MAX(0,B118-[1]Sheet1!$F$5)*[2]Sheet1!$E$26/50</f>
        <v>0</v>
      </c>
    </row>
    <row r="119" spans="1:7" x14ac:dyDescent="0.3">
      <c r="A119" s="3">
        <v>42886</v>
      </c>
      <c r="D119">
        <f>MAX(0,B119-[1]Sheet1!$F$3)*[1]Sheet1!$H$3</f>
        <v>0</v>
      </c>
      <c r="E119">
        <f>MAX(0,B119-[1]Sheet1!$F$7)*[1]Sheet1!$H$7</f>
        <v>0</v>
      </c>
      <c r="F119">
        <f>MAX(0,B119-[1]Sheet1!$F$4)*[1]Sheet1!$H$4</f>
        <v>0</v>
      </c>
      <c r="G119">
        <f>MAX(0,B119-[1]Sheet1!$F$5)*[2]Sheet1!$E$26/50</f>
        <v>0</v>
      </c>
    </row>
    <row r="120" spans="1:7" x14ac:dyDescent="0.3">
      <c r="A120" s="3">
        <v>42916</v>
      </c>
      <c r="D120">
        <f>MAX(0,B120-[1]Sheet1!$F$3)*[1]Sheet1!$H$3</f>
        <v>0</v>
      </c>
      <c r="E120">
        <f>MAX(0,B120-[1]Sheet1!$F$7)*[1]Sheet1!$H$7</f>
        <v>0</v>
      </c>
      <c r="F120">
        <f>MAX(0,B120-[1]Sheet1!$F$4)*[1]Sheet1!$H$4</f>
        <v>0</v>
      </c>
      <c r="G120">
        <f>MAX(0,B120-[1]Sheet1!$F$5)*[2]Sheet1!$E$26/50</f>
        <v>0</v>
      </c>
    </row>
    <row r="121" spans="1:7" x14ac:dyDescent="0.3">
      <c r="A121" s="3">
        <v>42947</v>
      </c>
      <c r="D121">
        <f>MAX(0,B121-[1]Sheet1!$F$3)*[1]Sheet1!$H$3</f>
        <v>0</v>
      </c>
      <c r="E121">
        <f>MAX(0,B121-[1]Sheet1!$F$7)*[1]Sheet1!$H$7</f>
        <v>0</v>
      </c>
      <c r="F121">
        <f>MAX(0,B121-[1]Sheet1!$F$4)*[1]Sheet1!$H$4</f>
        <v>0</v>
      </c>
      <c r="G121">
        <f>MAX(0,B121-[1]Sheet1!$F$5)*[2]Sheet1!$E$26/50</f>
        <v>0</v>
      </c>
    </row>
    <row r="122" spans="1:7" x14ac:dyDescent="0.3">
      <c r="A122" s="3">
        <v>42978</v>
      </c>
      <c r="D122">
        <f>MAX(0,B122-[1]Sheet1!$F$3)*[1]Sheet1!$H$3</f>
        <v>0</v>
      </c>
      <c r="E122">
        <f>MAX(0,B122-[1]Sheet1!$F$7)*[1]Sheet1!$H$7</f>
        <v>0</v>
      </c>
      <c r="F122">
        <f>MAX(0,B122-[1]Sheet1!$F$4)*[1]Sheet1!$H$4</f>
        <v>0</v>
      </c>
      <c r="G122">
        <f>MAX(0,B122-[1]Sheet1!$F$5)*[2]Sheet1!$E$26/50</f>
        <v>0</v>
      </c>
    </row>
    <row r="123" spans="1:7" x14ac:dyDescent="0.3">
      <c r="A123" s="3">
        <v>43008</v>
      </c>
      <c r="D123">
        <f>MAX(0,B123-[1]Sheet1!$F$3)*[1]Sheet1!$H$3</f>
        <v>0</v>
      </c>
      <c r="E123">
        <f>MAX(0,B123-[1]Sheet1!$F$7)*[1]Sheet1!$H$7</f>
        <v>0</v>
      </c>
      <c r="F123">
        <f>MAX(0,B123-[1]Sheet1!$F$4)*[1]Sheet1!$H$4</f>
        <v>0</v>
      </c>
      <c r="G123">
        <f>MAX(0,B123-[1]Sheet1!$F$5)*[2]Sheet1!$E$26/50</f>
        <v>0</v>
      </c>
    </row>
    <row r="124" spans="1:7" x14ac:dyDescent="0.3">
      <c r="A124" s="3">
        <v>43039</v>
      </c>
      <c r="D124">
        <f>MAX(0,B124-[1]Sheet1!$F$3)*[1]Sheet1!$H$3</f>
        <v>0</v>
      </c>
      <c r="E124">
        <f>MAX(0,B124-[1]Sheet1!$F$7)*[1]Sheet1!$H$7</f>
        <v>0</v>
      </c>
      <c r="F124">
        <f>MAX(0,B124-[1]Sheet1!$F$4)*[1]Sheet1!$H$4</f>
        <v>0</v>
      </c>
      <c r="G124">
        <f>MAX(0,B124-[1]Sheet1!$F$5)*[2]Sheet1!$E$26/50</f>
        <v>0</v>
      </c>
    </row>
    <row r="125" spans="1:7" x14ac:dyDescent="0.3">
      <c r="A125" s="3">
        <v>43069</v>
      </c>
      <c r="D125">
        <f>MAX(0,B125-[1]Sheet1!$F$3)*[1]Sheet1!$H$3</f>
        <v>0</v>
      </c>
      <c r="E125">
        <f>MAX(0,B125-[1]Sheet1!$F$7)*[1]Sheet1!$H$7</f>
        <v>0</v>
      </c>
      <c r="F125">
        <f>MAX(0,B125-[1]Sheet1!$F$4)*[1]Sheet1!$H$4</f>
        <v>0</v>
      </c>
      <c r="G125">
        <f>MAX(0,B125-[1]Sheet1!$F$5)*[2]Sheet1!$E$26/50</f>
        <v>0</v>
      </c>
    </row>
    <row r="126" spans="1:7" x14ac:dyDescent="0.3">
      <c r="A126" s="3">
        <v>43100</v>
      </c>
      <c r="D126">
        <f>MAX(0,B126-[1]Sheet1!$F$3)*[1]Sheet1!$H$3</f>
        <v>0</v>
      </c>
      <c r="E126">
        <f>MAX(0,B126-[1]Sheet1!$F$7)*[1]Sheet1!$H$7</f>
        <v>0</v>
      </c>
      <c r="F126">
        <f>MAX(0,B126-[1]Sheet1!$F$4)*[1]Sheet1!$H$4</f>
        <v>0</v>
      </c>
      <c r="G126">
        <f>MAX(0,B126-[1]Sheet1!$F$5)*[2]Sheet1!$E$26/50</f>
        <v>0</v>
      </c>
    </row>
    <row r="127" spans="1:7" x14ac:dyDescent="0.3">
      <c r="A127" s="3">
        <v>43131</v>
      </c>
      <c r="D127">
        <f>MAX(0,B127-[1]Sheet1!$F$3)*[1]Sheet1!$H$3</f>
        <v>0</v>
      </c>
      <c r="E127">
        <f>MAX(0,B127-[1]Sheet1!$F$7)*[1]Sheet1!$H$7</f>
        <v>0</v>
      </c>
      <c r="F127">
        <f>MAX(0,B127-[1]Sheet1!$F$4)*[1]Sheet1!$H$4</f>
        <v>0</v>
      </c>
      <c r="G127">
        <f>MAX(0,B127-[1]Sheet1!$F$5)*[2]Sheet1!$E$26/50</f>
        <v>0</v>
      </c>
    </row>
    <row r="128" spans="1:7" x14ac:dyDescent="0.3">
      <c r="A128" s="3">
        <v>43159</v>
      </c>
      <c r="D128">
        <f>MAX(0,B128-[1]Sheet1!$F$3)*[1]Sheet1!$H$3</f>
        <v>0</v>
      </c>
      <c r="E128">
        <f>MAX(0,B128-[1]Sheet1!$F$7)*[1]Sheet1!$H$7</f>
        <v>0</v>
      </c>
      <c r="F128">
        <f>MAX(0,B128-[1]Sheet1!$F$4)*[1]Sheet1!$H$4</f>
        <v>0</v>
      </c>
      <c r="G128">
        <f>MAX(0,B128-[1]Sheet1!$F$5)*[2]Sheet1!$E$26/50</f>
        <v>0</v>
      </c>
    </row>
    <row r="129" spans="1:7" x14ac:dyDescent="0.3">
      <c r="A129" s="3">
        <v>43190</v>
      </c>
      <c r="D129">
        <f>MAX(0,B129-[1]Sheet1!$F$3)*[1]Sheet1!$H$3</f>
        <v>0</v>
      </c>
      <c r="E129">
        <f>MAX(0,B129-[1]Sheet1!$F$7)*[1]Sheet1!$H$7</f>
        <v>0</v>
      </c>
      <c r="F129">
        <f>MAX(0,B129-[1]Sheet1!$F$4)*[1]Sheet1!$H$4</f>
        <v>0</v>
      </c>
      <c r="G129">
        <f>MAX(0,B129-[1]Sheet1!$F$5)*[2]Sheet1!$E$26/50</f>
        <v>0</v>
      </c>
    </row>
    <row r="130" spans="1:7" x14ac:dyDescent="0.3">
      <c r="A130" s="3">
        <v>43220</v>
      </c>
      <c r="D130">
        <f>MAX(0,B130-[1]Sheet1!$F$3)*[1]Sheet1!$H$3</f>
        <v>0</v>
      </c>
      <c r="E130">
        <f>MAX(0,B130-[1]Sheet1!$F$7)*[1]Sheet1!$H$7</f>
        <v>0</v>
      </c>
      <c r="F130">
        <f>MAX(0,B130-[1]Sheet1!$F$4)*[1]Sheet1!$H$4</f>
        <v>0</v>
      </c>
      <c r="G130">
        <f>MAX(0,B130-[1]Sheet1!$F$5)*[2]Sheet1!$E$26/50</f>
        <v>0</v>
      </c>
    </row>
    <row r="131" spans="1:7" x14ac:dyDescent="0.3">
      <c r="A131" s="3">
        <v>43251</v>
      </c>
      <c r="D131">
        <f>MAX(0,B131-[1]Sheet1!$F$3)*[1]Sheet1!$H$3</f>
        <v>0</v>
      </c>
      <c r="E131">
        <f>MAX(0,B131-[1]Sheet1!$F$7)*[1]Sheet1!$H$7</f>
        <v>0</v>
      </c>
      <c r="F131">
        <f>MAX(0,B131-[1]Sheet1!$F$4)*[1]Sheet1!$H$4</f>
        <v>0</v>
      </c>
      <c r="G131">
        <f>MAX(0,B131-[1]Sheet1!$F$5)*[2]Sheet1!$E$26/50</f>
        <v>0</v>
      </c>
    </row>
    <row r="132" spans="1:7" x14ac:dyDescent="0.3">
      <c r="A132" s="3">
        <v>43281</v>
      </c>
      <c r="D132">
        <f>MAX(0,B132-[1]Sheet1!$F$3)*[1]Sheet1!$H$3</f>
        <v>0</v>
      </c>
      <c r="E132">
        <f>MAX(0,B132-[1]Sheet1!$F$7)*[1]Sheet1!$H$7</f>
        <v>0</v>
      </c>
      <c r="F132">
        <f>MAX(0,B132-[1]Sheet1!$F$4)*[1]Sheet1!$H$4</f>
        <v>0</v>
      </c>
      <c r="G132">
        <f>MAX(0,B132-[1]Sheet1!$F$5)*[2]Sheet1!$E$26/50</f>
        <v>0</v>
      </c>
    </row>
    <row r="133" spans="1:7" x14ac:dyDescent="0.3">
      <c r="A133" s="3">
        <v>43312</v>
      </c>
      <c r="B133">
        <v>536.40750000000003</v>
      </c>
      <c r="D133">
        <f>MAX(0,B133-[1]Sheet1!$F$3)*[1]Sheet1!$H$3</f>
        <v>2.8640750000000001</v>
      </c>
      <c r="E133">
        <f>MAX(0,B133-[1]Sheet1!$F$7)*[1]Sheet1!$H$7</f>
        <v>0.45844500000000016</v>
      </c>
      <c r="F133">
        <f>MAX(0,B133-[1]Sheet1!$F$4)*[1]Sheet1!$H$4</f>
        <v>2.8640750000000001</v>
      </c>
      <c r="G133">
        <f>MAX(0,B133-[1]Sheet1!$F$5)*[2]Sheet1!$E$26/50</f>
        <v>1857.6675000000002</v>
      </c>
    </row>
    <row r="134" spans="1:7" x14ac:dyDescent="0.3">
      <c r="A134" s="3">
        <v>43343</v>
      </c>
      <c r="B134">
        <v>534.63200000000006</v>
      </c>
      <c r="D134">
        <f>MAX(0,B134-[1]Sheet1!$F$3)*[1]Sheet1!$H$3</f>
        <v>2.8463200000000008</v>
      </c>
      <c r="E134">
        <f>MAX(0,B134-[1]Sheet1!$F$7)*[1]Sheet1!$H$7</f>
        <v>0.44779200000000036</v>
      </c>
      <c r="F134">
        <f>MAX(0,B134-[1]Sheet1!$F$4)*[1]Sheet1!$H$4</f>
        <v>2.8463200000000008</v>
      </c>
      <c r="G134">
        <f>MAX(0,B134-[1]Sheet1!$F$5)*[2]Sheet1!$E$26/50</f>
        <v>1841.6880000000006</v>
      </c>
    </row>
    <row r="135" spans="1:7" x14ac:dyDescent="0.3">
      <c r="A135" s="3">
        <v>43373</v>
      </c>
      <c r="B135">
        <v>556.38499999999999</v>
      </c>
      <c r="D135">
        <f>MAX(0,B135-[1]Sheet1!$F$3)*[1]Sheet1!$H$3</f>
        <v>3.06385</v>
      </c>
      <c r="E135">
        <f>MAX(0,B135-[1]Sheet1!$F$7)*[1]Sheet1!$H$7</f>
        <v>0.57830999999999999</v>
      </c>
      <c r="F135">
        <f>MAX(0,B135-[1]Sheet1!$F$4)*[1]Sheet1!$H$4</f>
        <v>3.06385</v>
      </c>
      <c r="G135">
        <f>MAX(0,B135-[1]Sheet1!$F$5)*[2]Sheet1!$E$26/50</f>
        <v>2037.4649999999999</v>
      </c>
    </row>
    <row r="136" spans="1:7" x14ac:dyDescent="0.3">
      <c r="A136" s="3">
        <v>43404</v>
      </c>
      <c r="B136">
        <v>584.66249999999991</v>
      </c>
      <c r="D136">
        <f>MAX(0,B136-[1]Sheet1!$F$3)*[1]Sheet1!$H$3</f>
        <v>3.3466249999999991</v>
      </c>
      <c r="E136">
        <f>MAX(0,B136-[1]Sheet1!$F$7)*[1]Sheet1!$H$7</f>
        <v>0.7479749999999995</v>
      </c>
      <c r="F136">
        <f>MAX(0,B136-[1]Sheet1!$F$4)*[1]Sheet1!$H$4</f>
        <v>3.3466249999999991</v>
      </c>
      <c r="G136">
        <f>MAX(0,B136-[1]Sheet1!$F$5)*[2]Sheet1!$E$26/50</f>
        <v>2291.9624999999992</v>
      </c>
    </row>
    <row r="137" spans="1:7" x14ac:dyDescent="0.3">
      <c r="A137" s="3">
        <v>43434</v>
      </c>
      <c r="B137">
        <v>497.12399999999997</v>
      </c>
      <c r="D137">
        <f>MAX(0,B137-[1]Sheet1!$F$3)*[1]Sheet1!$H$3</f>
        <v>2.4712399999999999</v>
      </c>
      <c r="E137">
        <f>MAX(0,B137-[1]Sheet1!$F$7)*[1]Sheet1!$H$7</f>
        <v>0.2227439999999998</v>
      </c>
      <c r="F137">
        <f>MAX(0,B137-[1]Sheet1!$F$4)*[1]Sheet1!$H$4</f>
        <v>2.4712399999999999</v>
      </c>
      <c r="G137">
        <f>MAX(0,B137-[1]Sheet1!$F$5)*[2]Sheet1!$E$26/50</f>
        <v>1504.1159999999998</v>
      </c>
    </row>
    <row r="138" spans="1:7" x14ac:dyDescent="0.3">
      <c r="A138" s="3">
        <v>43465</v>
      </c>
      <c r="B138">
        <v>426.30250000000001</v>
      </c>
      <c r="D138">
        <f>MAX(0,B138-[1]Sheet1!$F$3)*[1]Sheet1!$H$3</f>
        <v>1.7630250000000001</v>
      </c>
      <c r="E138">
        <f>MAX(0,B138-[1]Sheet1!$F$7)*[1]Sheet1!$H$7</f>
        <v>0</v>
      </c>
      <c r="F138">
        <f>MAX(0,B138-[1]Sheet1!$F$4)*[1]Sheet1!$H$4</f>
        <v>1.7630250000000001</v>
      </c>
      <c r="G138">
        <f>MAX(0,B138-[1]Sheet1!$F$5)*[2]Sheet1!$E$26/50</f>
        <v>866.7225000000002</v>
      </c>
    </row>
    <row r="139" spans="1:7" x14ac:dyDescent="0.3">
      <c r="A139" s="3">
        <v>43496</v>
      </c>
      <c r="B139">
        <v>451.64750000000004</v>
      </c>
      <c r="D139">
        <f>MAX(0,B139-[1]Sheet1!$F$3)*[1]Sheet1!$H$3</f>
        <v>2.0164750000000002</v>
      </c>
      <c r="E139">
        <f>MAX(0,B139-[1]Sheet1!$F$7)*[1]Sheet1!$H$7</f>
        <v>0</v>
      </c>
      <c r="F139">
        <f>MAX(0,B139-[1]Sheet1!$F$4)*[1]Sheet1!$H$4</f>
        <v>2.0164750000000002</v>
      </c>
      <c r="G139">
        <f>MAX(0,B139-[1]Sheet1!$F$5)*[2]Sheet1!$E$26/50</f>
        <v>1094.8275000000003</v>
      </c>
    </row>
    <row r="140" spans="1:7" x14ac:dyDescent="0.3">
      <c r="A140" s="3">
        <v>43524</v>
      </c>
      <c r="B140">
        <v>485.96749999999997</v>
      </c>
      <c r="D140">
        <f>MAX(0,B140-[1]Sheet1!$F$3)*[1]Sheet1!$H$3</f>
        <v>2.3596749999999997</v>
      </c>
      <c r="E140">
        <f>MAX(0,B140-[1]Sheet1!$F$7)*[1]Sheet1!$H$7</f>
        <v>0.15580499999999983</v>
      </c>
      <c r="F140">
        <f>MAX(0,B140-[1]Sheet1!$F$4)*[1]Sheet1!$H$4</f>
        <v>2.3596749999999997</v>
      </c>
      <c r="G140">
        <f>MAX(0,B140-[1]Sheet1!$F$5)*[2]Sheet1!$E$26/50</f>
        <v>1403.7074999999998</v>
      </c>
    </row>
    <row r="141" spans="1:7" x14ac:dyDescent="0.3">
      <c r="A141" s="3">
        <v>43555</v>
      </c>
      <c r="B141">
        <v>496.51800000000003</v>
      </c>
      <c r="D141">
        <f>MAX(0,B141-[1]Sheet1!$F$3)*[1]Sheet1!$H$3</f>
        <v>2.4651800000000001</v>
      </c>
      <c r="E141">
        <f>MAX(0,B141-[1]Sheet1!$F$7)*[1]Sheet1!$H$7</f>
        <v>0.21910800000000019</v>
      </c>
      <c r="F141">
        <f>MAX(0,B141-[1]Sheet1!$F$4)*[1]Sheet1!$H$4</f>
        <v>2.4651800000000001</v>
      </c>
      <c r="G141">
        <f>MAX(0,B141-[1]Sheet1!$F$5)*[2]Sheet1!$E$26/50</f>
        <v>1498.662</v>
      </c>
    </row>
    <row r="142" spans="1:7" x14ac:dyDescent="0.3">
      <c r="A142" s="3">
        <v>43585</v>
      </c>
      <c r="B142">
        <v>515.23</v>
      </c>
      <c r="D142">
        <f>MAX(0,B142-[1]Sheet1!$F$3)*[1]Sheet1!$H$3</f>
        <v>2.6523000000000003</v>
      </c>
      <c r="E142">
        <f>MAX(0,B142-[1]Sheet1!$F$7)*[1]Sheet1!$H$7</f>
        <v>0.33138000000000012</v>
      </c>
      <c r="F142">
        <f>MAX(0,B142-[1]Sheet1!$F$4)*[1]Sheet1!$H$4</f>
        <v>2.6523000000000003</v>
      </c>
      <c r="G142">
        <f>MAX(0,B142-[1]Sheet1!$F$5)*[2]Sheet1!$E$26/50</f>
        <v>1667.0700000000004</v>
      </c>
    </row>
    <row r="143" spans="1:7" x14ac:dyDescent="0.3">
      <c r="A143" s="3">
        <v>43616</v>
      </c>
      <c r="B143">
        <v>507.904</v>
      </c>
      <c r="D143">
        <f>MAX(0,B143-[1]Sheet1!$F$3)*[1]Sheet1!$H$3</f>
        <v>2.57904</v>
      </c>
      <c r="E143">
        <f>MAX(0,B143-[1]Sheet1!$F$7)*[1]Sheet1!$H$7</f>
        <v>0.28742399999999996</v>
      </c>
      <c r="F143">
        <f>MAX(0,B143-[1]Sheet1!$F$4)*[1]Sheet1!$H$4</f>
        <v>2.57904</v>
      </c>
      <c r="G143">
        <f>MAX(0,B143-[1]Sheet1!$F$5)*[2]Sheet1!$E$26/50</f>
        <v>1601.136</v>
      </c>
    </row>
    <row r="144" spans="1:7" x14ac:dyDescent="0.3">
      <c r="A144" s="3">
        <v>43646</v>
      </c>
      <c r="B144">
        <v>480.36500000000001</v>
      </c>
      <c r="D144">
        <f>MAX(0,B144-[1]Sheet1!$F$3)*[1]Sheet1!$H$3</f>
        <v>2.3036500000000002</v>
      </c>
      <c r="E144">
        <f>MAX(0,B144-[1]Sheet1!$F$7)*[1]Sheet1!$H$7</f>
        <v>0.12219000000000006</v>
      </c>
      <c r="F144">
        <f>MAX(0,B144-[1]Sheet1!$F$4)*[1]Sheet1!$H$4</f>
        <v>2.3036500000000002</v>
      </c>
      <c r="G144">
        <f>MAX(0,B144-[1]Sheet1!$F$5)*[2]Sheet1!$E$26/50</f>
        <v>1353.2850000000001</v>
      </c>
    </row>
    <row r="145" spans="1:7" x14ac:dyDescent="0.3">
      <c r="A145" s="3">
        <v>43677</v>
      </c>
      <c r="B145">
        <v>489.84250000000003</v>
      </c>
      <c r="D145">
        <f>MAX(0,B145-[1]Sheet1!$F$3)*[1]Sheet1!$H$3</f>
        <v>2.3984250000000005</v>
      </c>
      <c r="E145">
        <f>MAX(0,B145-[1]Sheet1!$F$7)*[1]Sheet1!$H$7</f>
        <v>0.17905500000000019</v>
      </c>
      <c r="F145">
        <f>MAX(0,B145-[1]Sheet1!$F$4)*[1]Sheet1!$H$4</f>
        <v>2.3984250000000005</v>
      </c>
      <c r="G145">
        <f>MAX(0,B145-[1]Sheet1!$F$5)*[2]Sheet1!$E$26/50</f>
        <v>1438.5825000000002</v>
      </c>
    </row>
    <row r="146" spans="1:7" x14ac:dyDescent="0.3">
      <c r="A146" s="3">
        <v>43708</v>
      </c>
      <c r="B146">
        <v>455.56400000000002</v>
      </c>
      <c r="D146">
        <f>MAX(0,B146-[1]Sheet1!$F$3)*[1]Sheet1!$H$3</f>
        <v>2.0556400000000004</v>
      </c>
      <c r="E146">
        <f>MAX(0,B146-[1]Sheet1!$F$7)*[1]Sheet1!$H$7</f>
        <v>0</v>
      </c>
      <c r="F146">
        <f>MAX(0,B146-[1]Sheet1!$F$4)*[1]Sheet1!$H$4</f>
        <v>2.0556400000000004</v>
      </c>
      <c r="G146">
        <f>MAX(0,B146-[1]Sheet1!$F$5)*[2]Sheet1!$E$26/50</f>
        <v>1130.0760000000002</v>
      </c>
    </row>
    <row r="147" spans="1:7" x14ac:dyDescent="0.3">
      <c r="A147" s="3">
        <v>43738</v>
      </c>
      <c r="B147">
        <v>466.37749999999994</v>
      </c>
      <c r="D147">
        <f>MAX(0,B147-[1]Sheet1!$F$3)*[1]Sheet1!$H$3</f>
        <v>2.1637749999999993</v>
      </c>
      <c r="E147">
        <f>MAX(0,B147-[1]Sheet1!$F$7)*[1]Sheet1!$H$7</f>
        <v>3.8264999999999647E-2</v>
      </c>
      <c r="F147">
        <f>MAX(0,B147-[1]Sheet1!$F$4)*[1]Sheet1!$H$4</f>
        <v>2.1637749999999993</v>
      </c>
      <c r="G147">
        <f>MAX(0,B147-[1]Sheet1!$F$5)*[2]Sheet1!$E$26/50</f>
        <v>1227.3974999999994</v>
      </c>
    </row>
    <row r="148" spans="1:7" x14ac:dyDescent="0.3">
      <c r="A148" s="3">
        <v>43769</v>
      </c>
      <c r="B148">
        <v>468.10499999999996</v>
      </c>
      <c r="D148">
        <f>MAX(0,B148-[1]Sheet1!$F$3)*[1]Sheet1!$H$3</f>
        <v>2.1810499999999995</v>
      </c>
      <c r="E148">
        <f>MAX(0,B148-[1]Sheet1!$F$7)*[1]Sheet1!$H$7</f>
        <v>4.8629999999999771E-2</v>
      </c>
      <c r="F148">
        <f>MAX(0,B148-[1]Sheet1!$F$4)*[1]Sheet1!$H$4</f>
        <v>2.1810499999999995</v>
      </c>
      <c r="G148">
        <f>MAX(0,B148-[1]Sheet1!$F$5)*[2]Sheet1!$E$26/50</f>
        <v>1242.9449999999997</v>
      </c>
    </row>
    <row r="149" spans="1:7" x14ac:dyDescent="0.3">
      <c r="A149" s="3">
        <v>43799</v>
      </c>
      <c r="B149">
        <v>475.19800000000004</v>
      </c>
      <c r="D149">
        <f>MAX(0,B149-[1]Sheet1!$F$3)*[1]Sheet1!$H$3</f>
        <v>2.2519800000000005</v>
      </c>
      <c r="E149">
        <f>MAX(0,B149-[1]Sheet1!$F$7)*[1]Sheet1!$H$7</f>
        <v>9.1188000000000213E-2</v>
      </c>
      <c r="F149">
        <f>MAX(0,B149-[1]Sheet1!$F$4)*[1]Sheet1!$H$4</f>
        <v>2.2519800000000005</v>
      </c>
      <c r="G149">
        <f>MAX(0,B149-[1]Sheet1!$F$5)*[2]Sheet1!$E$26/50</f>
        <v>1306.7820000000002</v>
      </c>
    </row>
    <row r="150" spans="1:7" x14ac:dyDescent="0.3">
      <c r="A150" s="3">
        <v>43830</v>
      </c>
      <c r="B150">
        <v>514.59249999999997</v>
      </c>
      <c r="D150">
        <f>MAX(0,B150-[1]Sheet1!$F$3)*[1]Sheet1!$H$3</f>
        <v>2.6459249999999996</v>
      </c>
      <c r="E150">
        <f>MAX(0,B150-[1]Sheet1!$F$7)*[1]Sheet1!$H$7</f>
        <v>0.32755499999999982</v>
      </c>
      <c r="F150">
        <f>MAX(0,B150-[1]Sheet1!$F$4)*[1]Sheet1!$H$4</f>
        <v>2.6459249999999996</v>
      </c>
      <c r="G150">
        <f>MAX(0,B150-[1]Sheet1!$F$5)*[2]Sheet1!$E$26/50</f>
        <v>1661.3324999999998</v>
      </c>
    </row>
    <row r="151" spans="1:7" x14ac:dyDescent="0.3">
      <c r="A151" s="3">
        <v>43861</v>
      </c>
      <c r="B151">
        <v>506.18399999999991</v>
      </c>
      <c r="D151">
        <f>MAX(0,B151-[1]Sheet1!$F$3)*[1]Sheet1!$H$3</f>
        <v>2.5618399999999992</v>
      </c>
      <c r="E151">
        <f>MAX(0,B151-[1]Sheet1!$F$7)*[1]Sheet1!$H$7</f>
        <v>0.27710399999999946</v>
      </c>
      <c r="F151">
        <f>MAX(0,B151-[1]Sheet1!$F$4)*[1]Sheet1!$H$4</f>
        <v>2.5618399999999992</v>
      </c>
      <c r="G151">
        <f>MAX(0,B151-[1]Sheet1!$F$5)*[2]Sheet1!$E$26/50</f>
        <v>1585.6559999999993</v>
      </c>
    </row>
    <row r="152" spans="1:7" x14ac:dyDescent="0.3">
      <c r="A152" s="3">
        <v>43890</v>
      </c>
      <c r="B152">
        <v>421.16750000000002</v>
      </c>
      <c r="D152">
        <f>MAX(0,B152-[1]Sheet1!$F$3)*[1]Sheet1!$H$3</f>
        <v>1.7116750000000003</v>
      </c>
      <c r="E152">
        <f>MAX(0,B152-[1]Sheet1!$F$7)*[1]Sheet1!$H$7</f>
        <v>0</v>
      </c>
      <c r="F152">
        <f>MAX(0,B152-[1]Sheet1!$F$4)*[1]Sheet1!$H$4</f>
        <v>1.7116750000000003</v>
      </c>
      <c r="G152">
        <f>MAX(0,B152-[1]Sheet1!$F$5)*[2]Sheet1!$E$26/50</f>
        <v>820.50750000000016</v>
      </c>
    </row>
    <row r="153" spans="1:7" x14ac:dyDescent="0.3">
      <c r="A153" s="3">
        <v>43921</v>
      </c>
      <c r="B153">
        <v>258.60000000000002</v>
      </c>
      <c r="D153">
        <f>MAX(0,B153-[1]Sheet1!$F$3)*[1]Sheet1!$H$3</f>
        <v>8.6000000000000229E-2</v>
      </c>
      <c r="E153">
        <f>MAX(0,B153-[1]Sheet1!$F$7)*[1]Sheet1!$H$7</f>
        <v>0</v>
      </c>
      <c r="F153">
        <f>MAX(0,B153-[1]Sheet1!$F$4)*[1]Sheet1!$H$4</f>
        <v>8.6000000000000229E-2</v>
      </c>
      <c r="G153">
        <f>MAX(0,B153-[1]Sheet1!$F$5)*[2]Sheet1!$E$26/50</f>
        <v>0</v>
      </c>
    </row>
    <row r="154" spans="1:7" x14ac:dyDescent="0.3">
      <c r="A154" s="3">
        <v>43951</v>
      </c>
      <c r="B154">
        <v>219.68499999999997</v>
      </c>
      <c r="D154">
        <f>MAX(0,B154-[1]Sheet1!$F$3)*[1]Sheet1!$H$3</f>
        <v>0</v>
      </c>
      <c r="E154">
        <f>MAX(0,B154-[1]Sheet1!$F$7)*[1]Sheet1!$H$7</f>
        <v>0</v>
      </c>
      <c r="F154">
        <f>MAX(0,B154-[1]Sheet1!$F$4)*[1]Sheet1!$H$4</f>
        <v>0</v>
      </c>
      <c r="G154">
        <f>MAX(0,B154-[1]Sheet1!$F$5)*[2]Sheet1!$E$26/50</f>
        <v>0</v>
      </c>
    </row>
    <row r="155" spans="1:7" x14ac:dyDescent="0.3">
      <c r="A155" s="3">
        <v>43982</v>
      </c>
      <c r="B155">
        <v>224.75200000000001</v>
      </c>
      <c r="D155">
        <f>MAX(0,B155-[1]Sheet1!$F$3)*[1]Sheet1!$H$3</f>
        <v>0</v>
      </c>
      <c r="E155">
        <f>MAX(0,B155-[1]Sheet1!$F$7)*[1]Sheet1!$H$7</f>
        <v>0</v>
      </c>
      <c r="F155">
        <f>MAX(0,B155-[1]Sheet1!$F$4)*[1]Sheet1!$H$4</f>
        <v>0</v>
      </c>
      <c r="G155">
        <f>MAX(0,B155-[1]Sheet1!$F$5)*[2]Sheet1!$E$26/50</f>
        <v>0</v>
      </c>
    </row>
    <row r="156" spans="1:7" x14ac:dyDescent="0.3">
      <c r="A156" s="3">
        <v>44012</v>
      </c>
      <c r="B156">
        <v>278.065</v>
      </c>
      <c r="D156">
        <f>MAX(0,B156-[1]Sheet1!$F$3)*[1]Sheet1!$H$3</f>
        <v>0.28065000000000001</v>
      </c>
      <c r="E156">
        <f>MAX(0,B156-[1]Sheet1!$F$7)*[1]Sheet1!$H$7</f>
        <v>0</v>
      </c>
      <c r="F156">
        <f>MAX(0,B156-[1]Sheet1!$F$4)*[1]Sheet1!$H$4</f>
        <v>0.28065000000000001</v>
      </c>
      <c r="G156">
        <f>MAX(0,B156-[1]Sheet1!$F$5)*[2]Sheet1!$E$26/50</f>
        <v>0</v>
      </c>
    </row>
    <row r="157" spans="1:7" x14ac:dyDescent="0.3">
      <c r="A157" s="3">
        <v>44043</v>
      </c>
      <c r="B157">
        <v>303.18400000000003</v>
      </c>
      <c r="D157">
        <f>MAX(0,B157-[1]Sheet1!$F$3)*[1]Sheet1!$H$3</f>
        <v>0.53184000000000031</v>
      </c>
      <c r="E157">
        <f>MAX(0,B157-[1]Sheet1!$F$7)*[1]Sheet1!$H$7</f>
        <v>0</v>
      </c>
      <c r="F157">
        <f>MAX(0,B157-[1]Sheet1!$F$4)*[1]Sheet1!$H$4</f>
        <v>0.53184000000000031</v>
      </c>
      <c r="G157">
        <f>MAX(0,B157-[1]Sheet1!$F$5)*[2]Sheet1!$E$26/50</f>
        <v>0</v>
      </c>
    </row>
    <row r="158" spans="1:7" x14ac:dyDescent="0.3">
      <c r="A158" s="3">
        <v>44074</v>
      </c>
      <c r="B158">
        <v>307.63499999999999</v>
      </c>
      <c r="D158">
        <f>MAX(0,B158-[1]Sheet1!$F$3)*[1]Sheet1!$H$3</f>
        <v>0.57634999999999992</v>
      </c>
      <c r="E158">
        <f>MAX(0,B158-[1]Sheet1!$F$7)*[1]Sheet1!$H$7</f>
        <v>0</v>
      </c>
      <c r="F158">
        <f>MAX(0,B158-[1]Sheet1!$F$4)*[1]Sheet1!$H$4</f>
        <v>0.57634999999999992</v>
      </c>
      <c r="G158">
        <f>MAX(0,B158-[1]Sheet1!$F$5)*[2]Sheet1!$E$26/50</f>
        <v>0</v>
      </c>
    </row>
    <row r="159" spans="1:7" x14ac:dyDescent="0.3">
      <c r="A159" s="3">
        <v>44104</v>
      </c>
      <c r="B159">
        <v>287.58500000000004</v>
      </c>
      <c r="D159">
        <f>MAX(0,B159-[1]Sheet1!$F$3)*[1]Sheet1!$H$3</f>
        <v>0.37585000000000035</v>
      </c>
      <c r="E159">
        <f>MAX(0,B159-[1]Sheet1!$F$7)*[1]Sheet1!$H$7</f>
        <v>0</v>
      </c>
      <c r="F159">
        <f>MAX(0,B159-[1]Sheet1!$F$4)*[1]Sheet1!$H$4</f>
        <v>0.37585000000000035</v>
      </c>
      <c r="G159">
        <f>MAX(0,B159-[1]Sheet1!$F$5)*[2]Sheet1!$E$26/50</f>
        <v>0</v>
      </c>
    </row>
    <row r="160" spans="1:7" x14ac:dyDescent="0.3">
      <c r="A160" s="3">
        <v>44135</v>
      </c>
      <c r="B160">
        <v>292.66399999999999</v>
      </c>
      <c r="D160">
        <f>MAX(0,B160-[1]Sheet1!$F$3)*[1]Sheet1!$H$3</f>
        <v>0.42663999999999991</v>
      </c>
      <c r="E160">
        <f>MAX(0,B160-[1]Sheet1!$F$7)*[1]Sheet1!$H$7</f>
        <v>0</v>
      </c>
      <c r="F160">
        <f>MAX(0,B160-[1]Sheet1!$F$4)*[1]Sheet1!$H$4</f>
        <v>0.42663999999999991</v>
      </c>
      <c r="G160">
        <f>MAX(0,B160-[1]Sheet1!$F$5)*[2]Sheet1!$E$26/50</f>
        <v>0</v>
      </c>
    </row>
    <row r="161" spans="1:7" x14ac:dyDescent="0.3">
      <c r="A161" s="3">
        <v>44165</v>
      </c>
      <c r="B161">
        <v>318.21749999999997</v>
      </c>
      <c r="D161">
        <f>MAX(0,B161-[1]Sheet1!$F$3)*[1]Sheet1!$H$3</f>
        <v>0.68217499999999975</v>
      </c>
      <c r="E161">
        <f>MAX(0,B161-[1]Sheet1!$F$7)*[1]Sheet1!$H$7</f>
        <v>0</v>
      </c>
      <c r="F161">
        <f>MAX(0,B161-[1]Sheet1!$F$4)*[1]Sheet1!$H$4</f>
        <v>0.68217499999999975</v>
      </c>
      <c r="G161">
        <f>MAX(0,B161-[1]Sheet1!$F$5)*[2]Sheet1!$E$26/50</f>
        <v>0</v>
      </c>
    </row>
    <row r="162" spans="1:7" x14ac:dyDescent="0.3">
      <c r="A162" s="3">
        <v>44196</v>
      </c>
      <c r="B162">
        <v>363.89249999999998</v>
      </c>
      <c r="D162">
        <f>MAX(0,B162-[1]Sheet1!$F$3)*[1]Sheet1!$H$3</f>
        <v>1.138925</v>
      </c>
      <c r="E162">
        <f>MAX(0,B162-[1]Sheet1!$F$7)*[1]Sheet1!$H$7</f>
        <v>0</v>
      </c>
      <c r="F162">
        <f>MAX(0,B162-[1]Sheet1!$F$4)*[1]Sheet1!$H$4</f>
        <v>1.138925</v>
      </c>
      <c r="G162">
        <f>MAX(0,B162-[1]Sheet1!$F$5)*[2]Sheet1!$E$26/50</f>
        <v>305.03249999999986</v>
      </c>
    </row>
    <row r="163" spans="1:7" x14ac:dyDescent="0.3">
      <c r="A163" s="3">
        <v>44227</v>
      </c>
      <c r="B163">
        <v>395.30399999999997</v>
      </c>
      <c r="D163">
        <f>MAX(0,B163-[1]Sheet1!$F$3)*[1]Sheet1!$H$3</f>
        <v>1.4530399999999997</v>
      </c>
      <c r="E163">
        <f>MAX(0,B163-[1]Sheet1!$F$7)*[1]Sheet1!$H$7</f>
        <v>0</v>
      </c>
      <c r="F163">
        <f>MAX(0,B163-[1]Sheet1!$F$4)*[1]Sheet1!$H$4</f>
        <v>1.4530399999999997</v>
      </c>
      <c r="G163">
        <f>MAX(0,B163-[1]Sheet1!$F$5)*[2]Sheet1!$E$26/50</f>
        <v>587.73599999999976</v>
      </c>
    </row>
    <row r="164" spans="1:7" x14ac:dyDescent="0.3">
      <c r="A164" s="3">
        <v>44255</v>
      </c>
      <c r="B164">
        <v>456.15750000000003</v>
      </c>
      <c r="D164">
        <f>MAX(0,B164-[1]Sheet1!$F$3)*[1]Sheet1!$H$3</f>
        <v>2.0615750000000004</v>
      </c>
      <c r="E164">
        <f>MAX(0,B164-[1]Sheet1!$F$7)*[1]Sheet1!$H$7</f>
        <v>0</v>
      </c>
      <c r="F164">
        <f>MAX(0,B164-[1]Sheet1!$F$4)*[1]Sheet1!$H$4</f>
        <v>2.0615750000000004</v>
      </c>
      <c r="G164">
        <f>MAX(0,B164-[1]Sheet1!$F$5)*[2]Sheet1!$E$26/50</f>
        <v>1135.4175000000002</v>
      </c>
    </row>
    <row r="165" spans="1:7" x14ac:dyDescent="0.3">
      <c r="A165" s="3">
        <v>44286</v>
      </c>
      <c r="B165">
        <v>473.22749999999996</v>
      </c>
      <c r="D165">
        <f>MAX(0,B165-[1]Sheet1!$F$3)*[1]Sheet1!$H$3</f>
        <v>2.2322749999999996</v>
      </c>
      <c r="E165">
        <f>MAX(0,B165-[1]Sheet1!$F$7)*[1]Sheet1!$H$7</f>
        <v>7.9364999999999783E-2</v>
      </c>
      <c r="F165">
        <f>MAX(0,B165-[1]Sheet1!$F$4)*[1]Sheet1!$H$4</f>
        <v>2.2322749999999996</v>
      </c>
      <c r="G165">
        <f>MAX(0,B165-[1]Sheet1!$F$5)*[2]Sheet1!$E$26/50</f>
        <v>1289.0474999999997</v>
      </c>
    </row>
    <row r="166" spans="1:7" x14ac:dyDescent="0.3">
      <c r="A166" s="3">
        <v>44316</v>
      </c>
      <c r="B166">
        <v>458.65800000000002</v>
      </c>
      <c r="D166">
        <f>MAX(0,B166-[1]Sheet1!$F$3)*[1]Sheet1!$H$3</f>
        <v>2.0865800000000001</v>
      </c>
      <c r="E166">
        <f>MAX(0,B166-[1]Sheet1!$F$7)*[1]Sheet1!$H$7</f>
        <v>0</v>
      </c>
      <c r="F166">
        <f>MAX(0,B166-[1]Sheet1!$F$4)*[1]Sheet1!$H$4</f>
        <v>2.0865800000000001</v>
      </c>
      <c r="G166">
        <f>MAX(0,B166-[1]Sheet1!$F$5)*[2]Sheet1!$E$26/50</f>
        <v>1157.922</v>
      </c>
    </row>
    <row r="167" spans="1:7" x14ac:dyDescent="0.3">
      <c r="A167" s="3">
        <v>44347</v>
      </c>
      <c r="B167">
        <v>469.65250000000003</v>
      </c>
      <c r="D167">
        <f>MAX(0,B167-[1]Sheet1!$F$3)*[1]Sheet1!$H$3</f>
        <v>2.1965250000000003</v>
      </c>
      <c r="E167">
        <f>MAX(0,B167-[1]Sheet1!$F$7)*[1]Sheet1!$H$7</f>
        <v>5.7915000000000195E-2</v>
      </c>
      <c r="F167">
        <f>MAX(0,B167-[1]Sheet1!$F$4)*[1]Sheet1!$H$4</f>
        <v>2.1965250000000003</v>
      </c>
      <c r="G167">
        <f>MAX(0,B167-[1]Sheet1!$F$5)*[2]Sheet1!$E$26/50</f>
        <v>1256.8725000000004</v>
      </c>
    </row>
    <row r="168" spans="1:7" x14ac:dyDescent="0.3">
      <c r="A168" s="3">
        <v>44377</v>
      </c>
      <c r="B168">
        <v>504.29750000000001</v>
      </c>
      <c r="D168">
        <f>MAX(0,B168-[1]Sheet1!$F$3)*[1]Sheet1!$H$3</f>
        <v>2.5429750000000002</v>
      </c>
      <c r="E168">
        <f>MAX(0,B168-[1]Sheet1!$F$7)*[1]Sheet1!$H$7</f>
        <v>0.2657850000000001</v>
      </c>
      <c r="F168">
        <f>MAX(0,B168-[1]Sheet1!$F$4)*[1]Sheet1!$H$4</f>
        <v>2.5429750000000002</v>
      </c>
      <c r="G168">
        <f>MAX(0,B168-[1]Sheet1!$F$5)*[2]Sheet1!$E$26/50</f>
        <v>1568.6775</v>
      </c>
    </row>
    <row r="169" spans="1:7" x14ac:dyDescent="0.3">
      <c r="A169" s="3">
        <v>44408</v>
      </c>
      <c r="B169">
        <v>516.52600000000007</v>
      </c>
      <c r="D169">
        <f>MAX(0,B169-[1]Sheet1!$F$3)*[1]Sheet1!$H$3</f>
        <v>2.6652600000000009</v>
      </c>
      <c r="E169">
        <f>MAX(0,B169-[1]Sheet1!$F$7)*[1]Sheet1!$H$7</f>
        <v>0.3391560000000004</v>
      </c>
      <c r="F169">
        <f>MAX(0,B169-[1]Sheet1!$F$4)*[1]Sheet1!$H$4</f>
        <v>2.6652600000000009</v>
      </c>
      <c r="G169">
        <f>MAX(0,B169-[1]Sheet1!$F$5)*[2]Sheet1!$E$26/50</f>
        <v>1678.7340000000006</v>
      </c>
    </row>
    <row r="170" spans="1:7" x14ac:dyDescent="0.3">
      <c r="A170" s="3">
        <v>44439</v>
      </c>
      <c r="B170">
        <v>480.90999999999997</v>
      </c>
      <c r="D170">
        <f>MAX(0,B170-[1]Sheet1!$F$3)*[1]Sheet1!$H$3</f>
        <v>2.3090999999999999</v>
      </c>
      <c r="E170">
        <f>MAX(0,B170-[1]Sheet1!$F$7)*[1]Sheet1!$H$7</f>
        <v>0.12545999999999982</v>
      </c>
      <c r="F170">
        <f>MAX(0,B170-[1]Sheet1!$F$4)*[1]Sheet1!$H$4</f>
        <v>2.3090999999999999</v>
      </c>
      <c r="G170">
        <f>MAX(0,B170-[1]Sheet1!$F$5)*[2]Sheet1!$E$26/50</f>
        <v>1358.1899999999996</v>
      </c>
    </row>
    <row r="171" spans="1:7" x14ac:dyDescent="0.3">
      <c r="A171" s="3">
        <v>44469</v>
      </c>
      <c r="B171">
        <v>511.43499999999995</v>
      </c>
      <c r="D171">
        <f>MAX(0,B171-[1]Sheet1!$F$3)*[1]Sheet1!$H$3</f>
        <v>2.6143499999999995</v>
      </c>
      <c r="E171">
        <f>MAX(0,B171-[1]Sheet1!$F$7)*[1]Sheet1!$H$7</f>
        <v>0.30860999999999966</v>
      </c>
      <c r="F171">
        <f>MAX(0,B171-[1]Sheet1!$F$4)*[1]Sheet1!$H$4</f>
        <v>2.6143499999999995</v>
      </c>
      <c r="G171">
        <f>MAX(0,B171-[1]Sheet1!$F$5)*[2]Sheet1!$E$26/50</f>
        <v>1632.9149999999995</v>
      </c>
    </row>
    <row r="172" spans="1:7" x14ac:dyDescent="0.3">
      <c r="A172" s="3">
        <v>44500</v>
      </c>
      <c r="B172">
        <v>565.36799999999994</v>
      </c>
      <c r="D172">
        <f>MAX(0,B172-[1]Sheet1!$F$3)*[1]Sheet1!$H$3</f>
        <v>3.1536799999999996</v>
      </c>
      <c r="E172">
        <f>MAX(0,B172-[1]Sheet1!$F$7)*[1]Sheet1!$H$7</f>
        <v>0.63220799999999966</v>
      </c>
      <c r="F172">
        <f>MAX(0,B172-[1]Sheet1!$F$4)*[1]Sheet1!$H$4</f>
        <v>3.1536799999999996</v>
      </c>
      <c r="G172">
        <f>MAX(0,B172-[1]Sheet1!$F$5)*[2]Sheet1!$E$26/50</f>
        <v>2118.3119999999994</v>
      </c>
    </row>
    <row r="173" spans="1:7" x14ac:dyDescent="0.3">
      <c r="A173" s="3">
        <v>44530</v>
      </c>
      <c r="B173">
        <v>540.59249999999997</v>
      </c>
      <c r="D173">
        <f>MAX(0,B173-[1]Sheet1!$F$3)*[1]Sheet1!$H$3</f>
        <v>2.9059249999999999</v>
      </c>
      <c r="E173">
        <f>MAX(0,B173-[1]Sheet1!$F$7)*[1]Sheet1!$H$7</f>
        <v>0.48355499999999985</v>
      </c>
      <c r="F173">
        <f>MAX(0,B173-[1]Sheet1!$F$4)*[1]Sheet1!$H$4</f>
        <v>2.9059249999999999</v>
      </c>
      <c r="G173">
        <f>MAX(0,B173-[1]Sheet1!$F$5)*[2]Sheet1!$E$26/50</f>
        <v>1895.3324999999998</v>
      </c>
    </row>
    <row r="174" spans="1:7" x14ac:dyDescent="0.3">
      <c r="A174" s="3">
        <v>44561</v>
      </c>
      <c r="B174">
        <v>519.98800000000006</v>
      </c>
      <c r="D174">
        <f>MAX(0,B174-[1]Sheet1!$F$3)*[1]Sheet1!$H$3</f>
        <v>2.6998800000000007</v>
      </c>
      <c r="E174">
        <f>MAX(0,B174-[1]Sheet1!$F$7)*[1]Sheet1!$H$7</f>
        <v>0.35992800000000036</v>
      </c>
      <c r="F174">
        <f>MAX(0,B174-[1]Sheet1!$F$4)*[1]Sheet1!$H$4</f>
        <v>2.6998800000000007</v>
      </c>
      <c r="G174">
        <f>MAX(0,B174-[1]Sheet1!$F$5)*[2]Sheet1!$E$26/50</f>
        <v>1709.8920000000005</v>
      </c>
    </row>
    <row r="175" spans="1:7" x14ac:dyDescent="0.3">
      <c r="A175" s="3">
        <v>44592</v>
      </c>
      <c r="B175">
        <v>596.9375</v>
      </c>
      <c r="D175">
        <f>MAX(0,B175-[1]Sheet1!$F$3)*[1]Sheet1!$H$3</f>
        <v>3.4693749999999999</v>
      </c>
      <c r="E175">
        <f>MAX(0,B175-[1]Sheet1!$F$7)*[1]Sheet1!$H$7</f>
        <v>0.82162500000000005</v>
      </c>
      <c r="F175">
        <f>MAX(0,B175-[1]Sheet1!$F$4)*[1]Sheet1!$H$4</f>
        <v>3.4693749999999999</v>
      </c>
      <c r="G175">
        <f>MAX(0,B175-[1]Sheet1!$F$5)*[2]Sheet1!$E$26/50</f>
        <v>2402.4375</v>
      </c>
    </row>
    <row r="176" spans="1:7" x14ac:dyDescent="0.3">
      <c r="A176" s="3">
        <v>44620</v>
      </c>
      <c r="B176">
        <v>658.24250000000006</v>
      </c>
      <c r="D176">
        <f>MAX(0,B176-[1]Sheet1!$F$3)*[1]Sheet1!$H$3</f>
        <v>4.0824250000000006</v>
      </c>
      <c r="E176">
        <f>MAX(0,B176-[1]Sheet1!$F$7)*[1]Sheet1!$H$7</f>
        <v>1.1894550000000004</v>
      </c>
      <c r="F176">
        <f>MAX(0,B176-[1]Sheet1!$F$4)*[1]Sheet1!$H$4</f>
        <v>4.0824250000000006</v>
      </c>
      <c r="G176">
        <f>MAX(0,B176-[1]Sheet1!$F$5)*[2]Sheet1!$E$26/50</f>
        <v>2954.1825000000008</v>
      </c>
    </row>
    <row r="177" spans="1:7" x14ac:dyDescent="0.3">
      <c r="A177" s="3">
        <v>44651</v>
      </c>
      <c r="B177">
        <v>791.4325</v>
      </c>
      <c r="D177">
        <f>MAX(0,B177-[1]Sheet1!$F$3)*[1]Sheet1!$H$3</f>
        <v>5.4143249999999998</v>
      </c>
      <c r="E177">
        <f>MAX(0,B177-[1]Sheet1!$F$7)*[1]Sheet1!$H$7</f>
        <v>1.9885950000000001</v>
      </c>
      <c r="F177">
        <f>MAX(0,B177-[1]Sheet1!$F$4)*[1]Sheet1!$H$4</f>
        <v>5.4143249999999998</v>
      </c>
      <c r="G177">
        <f>MAX(0,B177-[1]Sheet1!$F$5)*[2]Sheet1!$E$26/50</f>
        <v>4152.8924999999999</v>
      </c>
    </row>
    <row r="178" spans="1:7" x14ac:dyDescent="0.3">
      <c r="A178" s="3">
        <v>44681</v>
      </c>
      <c r="B178">
        <v>740.78800000000001</v>
      </c>
      <c r="D178">
        <f>MAX(0,B178-[1]Sheet1!$F$3)*[1]Sheet1!$H$3</f>
        <v>4.9078800000000005</v>
      </c>
      <c r="E178">
        <f>MAX(0,B178-[1]Sheet1!$F$7)*[1]Sheet1!$H$7</f>
        <v>1.684728</v>
      </c>
      <c r="F178">
        <f>MAX(0,B178-[1]Sheet1!$F$4)*[1]Sheet1!$H$4</f>
        <v>4.9078800000000005</v>
      </c>
      <c r="G178">
        <f>MAX(0,B178-[1]Sheet1!$F$5)*[2]Sheet1!$E$26/50</f>
        <v>3697.0920000000001</v>
      </c>
    </row>
    <row r="179" spans="1:7" x14ac:dyDescent="0.3">
      <c r="A179" s="3">
        <v>44712</v>
      </c>
      <c r="B179">
        <v>779.58</v>
      </c>
      <c r="D179">
        <f>MAX(0,B179-[1]Sheet1!$F$3)*[1]Sheet1!$H$3</f>
        <v>5.2958000000000007</v>
      </c>
      <c r="E179">
        <f>MAX(0,B179-[1]Sheet1!$F$7)*[1]Sheet1!$H$7</f>
        <v>1.9174800000000003</v>
      </c>
      <c r="F179">
        <f>MAX(0,B179-[1]Sheet1!$F$4)*[1]Sheet1!$H$4</f>
        <v>5.2958000000000007</v>
      </c>
      <c r="G179">
        <f>MAX(0,B179-[1]Sheet1!$F$5)*[2]Sheet1!$E$26/50</f>
        <v>4046.2200000000007</v>
      </c>
    </row>
    <row r="180" spans="1:7" x14ac:dyDescent="0.3">
      <c r="A180" s="3">
        <v>44742</v>
      </c>
      <c r="B180">
        <v>829.05000000000007</v>
      </c>
      <c r="D180">
        <f>MAX(0,B180-[1]Sheet1!$F$3)*[1]Sheet1!$H$3</f>
        <v>5.7905000000000006</v>
      </c>
      <c r="E180">
        <f>MAX(0,B180-[1]Sheet1!$F$7)*[1]Sheet1!$H$7</f>
        <v>2.2143000000000006</v>
      </c>
      <c r="F180">
        <f>MAX(0,B180-[1]Sheet1!$F$4)*[1]Sheet1!$H$4</f>
        <v>5.7905000000000006</v>
      </c>
      <c r="G180">
        <f>MAX(0,B180-[1]Sheet1!$F$5)*[2]Sheet1!$E$26/50</f>
        <v>4491.4500000000007</v>
      </c>
    </row>
    <row r="181" spans="1:7" x14ac:dyDescent="0.3">
      <c r="A181" s="3">
        <v>44773</v>
      </c>
      <c r="B181">
        <v>720.85799999999995</v>
      </c>
      <c r="D181">
        <f>MAX(0,B181-[1]Sheet1!$F$3)*[1]Sheet1!$H$3</f>
        <v>4.7085799999999995</v>
      </c>
      <c r="E181">
        <f>MAX(0,B181-[1]Sheet1!$F$7)*[1]Sheet1!$H$7</f>
        <v>1.5651479999999998</v>
      </c>
      <c r="F181">
        <f>MAX(0,B181-[1]Sheet1!$F$4)*[1]Sheet1!$H$4</f>
        <v>4.7085799999999995</v>
      </c>
      <c r="G181">
        <f>MAX(0,B181-[1]Sheet1!$F$5)*[2]Sheet1!$E$26/50</f>
        <v>3517.7219999999998</v>
      </c>
    </row>
    <row r="182" spans="1:7" x14ac:dyDescent="0.3">
      <c r="A182" s="3">
        <v>44804</v>
      </c>
      <c r="B182">
        <v>653.76750000000004</v>
      </c>
      <c r="D182">
        <f>MAX(0,B182-[1]Sheet1!$F$3)*[1]Sheet1!$H$3</f>
        <v>4.0376750000000001</v>
      </c>
      <c r="E182">
        <f>MAX(0,B182-[1]Sheet1!$F$7)*[1]Sheet1!$H$7</f>
        <v>1.1626050000000003</v>
      </c>
      <c r="F182">
        <f>MAX(0,B182-[1]Sheet1!$F$4)*[1]Sheet1!$H$4</f>
        <v>4.0376750000000001</v>
      </c>
      <c r="G182">
        <f>MAX(0,B182-[1]Sheet1!$F$5)*[2]Sheet1!$E$26/50</f>
        <v>2913.9075000000007</v>
      </c>
    </row>
    <row r="183" spans="1:7" x14ac:dyDescent="0.3">
      <c r="A183" s="3">
        <v>44834</v>
      </c>
      <c r="B183">
        <v>596.35599999999999</v>
      </c>
      <c r="D183">
        <f>MAX(0,B183-[1]Sheet1!$F$3)*[1]Sheet1!$H$3</f>
        <v>3.4635600000000002</v>
      </c>
      <c r="E183">
        <f>MAX(0,B183-[1]Sheet1!$F$7)*[1]Sheet1!$H$7</f>
        <v>0.81813599999999997</v>
      </c>
      <c r="F183">
        <f>MAX(0,B183-[1]Sheet1!$F$4)*[1]Sheet1!$H$4</f>
        <v>3.4635600000000002</v>
      </c>
      <c r="G183">
        <f>MAX(0,B183-[1]Sheet1!$F$5)*[2]Sheet1!$E$26/50</f>
        <v>2397.2039999999997</v>
      </c>
    </row>
    <row r="184" spans="1:7" x14ac:dyDescent="0.3">
      <c r="A184" s="3">
        <v>44865</v>
      </c>
      <c r="B184">
        <v>611.70749999999998</v>
      </c>
      <c r="D184">
        <f>MAX(0,B184-[1]Sheet1!$F$3)*[1]Sheet1!$H$3</f>
        <v>3.6170749999999998</v>
      </c>
      <c r="E184">
        <f>MAX(0,B184-[1]Sheet1!$F$7)*[1]Sheet1!$H$7</f>
        <v>0.91024499999999986</v>
      </c>
      <c r="F184">
        <f>MAX(0,B184-[1]Sheet1!$F$4)*[1]Sheet1!$H$4</f>
        <v>3.6170749999999998</v>
      </c>
      <c r="G184">
        <f>MAX(0,B184-[1]Sheet1!$F$5)*[2]Sheet1!$E$26/50</f>
        <v>2535.3674999999998</v>
      </c>
    </row>
    <row r="185" spans="1:7" x14ac:dyDescent="0.3">
      <c r="A185" s="3">
        <v>44895</v>
      </c>
      <c r="B185">
        <v>563.98</v>
      </c>
      <c r="D185">
        <f>MAX(0,B185-[1]Sheet1!$F$3)*[1]Sheet1!$H$3</f>
        <v>3.1398000000000001</v>
      </c>
      <c r="E185">
        <f>MAX(0,B185-[1]Sheet1!$F$7)*[1]Sheet1!$H$7</f>
        <v>0.6238800000000001</v>
      </c>
      <c r="F185">
        <f>MAX(0,B185-[1]Sheet1!$F$4)*[1]Sheet1!$H$4</f>
        <v>3.1398000000000001</v>
      </c>
      <c r="G185">
        <f>MAX(0,B185-[1]Sheet1!$F$5)*[2]Sheet1!$E$26/50</f>
        <v>2105.8200000000002</v>
      </c>
    </row>
    <row r="186" spans="1:7" x14ac:dyDescent="0.3">
      <c r="A186" s="3">
        <v>44926</v>
      </c>
      <c r="B186">
        <v>502.95</v>
      </c>
      <c r="D186">
        <f>MAX(0,B186-[1]Sheet1!$F$3)*[1]Sheet1!$H$3</f>
        <v>2.5295000000000001</v>
      </c>
      <c r="E186">
        <f>MAX(0,B186-[1]Sheet1!$F$7)*[1]Sheet1!$H$7</f>
        <v>0.25769999999999993</v>
      </c>
      <c r="F186">
        <f>MAX(0,B186-[1]Sheet1!$F$4)*[1]Sheet1!$H$4</f>
        <v>2.5295000000000001</v>
      </c>
      <c r="G186">
        <f>MAX(0,B186-[1]Sheet1!$F$5)*[2]Sheet1!$E$26/50</f>
        <v>1556.55</v>
      </c>
    </row>
    <row r="187" spans="1:7" x14ac:dyDescent="0.3">
      <c r="A187" s="3">
        <v>44957</v>
      </c>
      <c r="B187">
        <v>538.4</v>
      </c>
      <c r="D187">
        <f>MAX(0,B187-[1]Sheet1!$F$3)*[1]Sheet1!$H$3</f>
        <v>2.8839999999999999</v>
      </c>
      <c r="E187">
        <f>MAX(0,B187-[1]Sheet1!$F$7)*[1]Sheet1!$H$7</f>
        <v>0.47039999999999987</v>
      </c>
      <c r="F187">
        <f>MAX(0,B187-[1]Sheet1!$F$4)*[1]Sheet1!$H$4</f>
        <v>2.8839999999999999</v>
      </c>
      <c r="G187">
        <f>MAX(0,B187-[1]Sheet1!$F$5)*[2]Sheet1!$E$26/50</f>
        <v>1875.5999999999997</v>
      </c>
    </row>
    <row r="188" spans="1:7" x14ac:dyDescent="0.3">
      <c r="A188" s="3">
        <v>44985</v>
      </c>
      <c r="B188">
        <v>534.17750000000001</v>
      </c>
      <c r="D188">
        <f>MAX(0,B188-[1]Sheet1!$F$3)*[1]Sheet1!$H$3</f>
        <v>2.8417750000000002</v>
      </c>
      <c r="E188">
        <f>MAX(0,B188-[1]Sheet1!$F$7)*[1]Sheet1!$H$7</f>
        <v>0.44506500000000004</v>
      </c>
      <c r="F188">
        <f>MAX(0,B188-[1]Sheet1!$F$4)*[1]Sheet1!$H$4</f>
        <v>2.8417750000000002</v>
      </c>
      <c r="G188">
        <f>MAX(0,B188-[1]Sheet1!$F$5)*[2]Sheet1!$E$26/50</f>
        <v>1837.5975000000001</v>
      </c>
    </row>
    <row r="189" spans="1:7" x14ac:dyDescent="0.3">
      <c r="A189" s="3">
        <v>45016</v>
      </c>
      <c r="B189">
        <v>513.548</v>
      </c>
      <c r="D189">
        <f>MAX(0,B189-[1]Sheet1!$F$3)*[1]Sheet1!$H$3</f>
        <v>2.6354800000000003</v>
      </c>
      <c r="E189">
        <f>MAX(0,B189-[1]Sheet1!$F$7)*[1]Sheet1!$H$7</f>
        <v>0.32128800000000002</v>
      </c>
      <c r="F189">
        <f>MAX(0,B189-[1]Sheet1!$F$4)*[1]Sheet1!$H$4</f>
        <v>2.6354800000000003</v>
      </c>
      <c r="G189">
        <f>MAX(0,B189-[1]Sheet1!$F$5)*[2]Sheet1!$E$26/50</f>
        <v>1651.932</v>
      </c>
    </row>
    <row r="190" spans="1:7" x14ac:dyDescent="0.3">
      <c r="A190" s="3">
        <v>45046</v>
      </c>
      <c r="B190">
        <v>533.38000000000011</v>
      </c>
      <c r="D190">
        <f>MAX(0,B190-[1]Sheet1!$F$3)*[1]Sheet1!$H$3</f>
        <v>2.833800000000001</v>
      </c>
      <c r="E190">
        <f>MAX(0,B190-[1]Sheet1!$F$7)*[1]Sheet1!$H$7</f>
        <v>0.44028000000000067</v>
      </c>
      <c r="F190">
        <f>MAX(0,B190-[1]Sheet1!$F$4)*[1]Sheet1!$H$4</f>
        <v>2.833800000000001</v>
      </c>
      <c r="G190">
        <f>MAX(0,B190-[1]Sheet1!$F$5)*[2]Sheet1!$E$26/50</f>
        <v>1830.420000000001</v>
      </c>
    </row>
    <row r="191" spans="1:7" x14ac:dyDescent="0.3">
      <c r="A191" s="3">
        <v>45077</v>
      </c>
      <c r="B191">
        <v>488.13750000000005</v>
      </c>
      <c r="D191">
        <f>MAX(0,B191-[1]Sheet1!$F$3)*[1]Sheet1!$H$3</f>
        <v>2.3813750000000007</v>
      </c>
      <c r="E191">
        <f>MAX(0,B191-[1]Sheet1!$F$7)*[1]Sheet1!$H$7</f>
        <v>0.16882500000000028</v>
      </c>
      <c r="F191">
        <f>MAX(0,B191-[1]Sheet1!$F$4)*[1]Sheet1!$H$4</f>
        <v>2.3813750000000007</v>
      </c>
      <c r="G191">
        <f>MAX(0,B191-[1]Sheet1!$F$5)*[2]Sheet1!$E$26/50</f>
        <v>1423.2375000000002</v>
      </c>
    </row>
    <row r="192" spans="1:7" x14ac:dyDescent="0.3">
      <c r="A192" s="3">
        <v>45107</v>
      </c>
      <c r="B192">
        <v>502.49399999999997</v>
      </c>
      <c r="D192">
        <f>MAX(0,B192-[1]Sheet1!$F$3)*[1]Sheet1!$H$3</f>
        <v>2.52494</v>
      </c>
      <c r="E192">
        <f>MAX(0,B192-[1]Sheet1!$F$7)*[1]Sheet1!$H$7</f>
        <v>0.25496399999999986</v>
      </c>
      <c r="F192">
        <f>MAX(0,B192-[1]Sheet1!$F$4)*[1]Sheet1!$H$4</f>
        <v>2.52494</v>
      </c>
      <c r="G192">
        <f>MAX(0,B192-[1]Sheet1!$F$5)*[2]Sheet1!$E$26/50</f>
        <v>1552.4459999999997</v>
      </c>
    </row>
    <row r="193" spans="1:7" x14ac:dyDescent="0.3">
      <c r="A193" s="3">
        <v>45138</v>
      </c>
      <c r="B193">
        <v>529.44749999999999</v>
      </c>
      <c r="D193">
        <f>MAX(0,B193-[1]Sheet1!$F$3)*[1]Sheet1!$H$3</f>
        <v>2.7944749999999998</v>
      </c>
      <c r="E193">
        <f>MAX(0,B193-[1]Sheet1!$F$7)*[1]Sheet1!$H$7</f>
        <v>0.41668499999999997</v>
      </c>
      <c r="F193">
        <f>MAX(0,B193-[1]Sheet1!$F$4)*[1]Sheet1!$H$4</f>
        <v>2.7944749999999998</v>
      </c>
      <c r="G193">
        <f>MAX(0,B193-[1]Sheet1!$F$5)*[2]Sheet1!$E$26/50</f>
        <v>1795.0274999999999</v>
      </c>
    </row>
    <row r="194" spans="1:7" x14ac:dyDescent="0.3">
      <c r="A194" s="3">
        <v>45169</v>
      </c>
      <c r="B194">
        <v>571.76250000000005</v>
      </c>
      <c r="D194">
        <f>MAX(0,B194-[1]Sheet1!$F$3)*[1]Sheet1!$H$3</f>
        <v>3.2176250000000004</v>
      </c>
      <c r="E194">
        <f>MAX(0,B194-[1]Sheet1!$F$7)*[1]Sheet1!$H$7</f>
        <v>0.67057500000000025</v>
      </c>
      <c r="F194">
        <f>MAX(0,B194-[1]Sheet1!$F$4)*[1]Sheet1!$H$4</f>
        <v>3.2176250000000004</v>
      </c>
      <c r="G194">
        <f>MAX(0,B194-[1]Sheet1!$F$5)*[2]Sheet1!$E$26/50</f>
        <v>2175.8625000000002</v>
      </c>
    </row>
    <row r="195" spans="1:7" x14ac:dyDescent="0.3">
      <c r="A195" s="3">
        <v>45199</v>
      </c>
      <c r="B195">
        <v>590.72799999999995</v>
      </c>
      <c r="D195">
        <f>MAX(0,B195-[1]Sheet1!$F$3)*[1]Sheet1!$H$3</f>
        <v>3.4072799999999996</v>
      </c>
      <c r="E195">
        <f>MAX(0,B195-[1]Sheet1!$F$7)*[1]Sheet1!$H$7</f>
        <v>0.78436799999999973</v>
      </c>
      <c r="F195">
        <f>MAX(0,B195-[1]Sheet1!$F$4)*[1]Sheet1!$H$4</f>
        <v>3.4072799999999996</v>
      </c>
      <c r="G195">
        <f>MAX(0,B195-[1]Sheet1!$F$5)*[2]Sheet1!$E$26/50</f>
        <v>2346.5519999999997</v>
      </c>
    </row>
    <row r="196" spans="1:7" x14ac:dyDescent="0.3">
      <c r="A196" s="3">
        <v>45230</v>
      </c>
      <c r="B196">
        <v>571.15750000000003</v>
      </c>
      <c r="D196">
        <f>MAX(0,B196-[1]Sheet1!$F$3)*[1]Sheet1!$H$3</f>
        <v>3.2115750000000003</v>
      </c>
      <c r="E196">
        <f>MAX(0,B196-[1]Sheet1!$F$7)*[1]Sheet1!$H$7</f>
        <v>0.66694500000000023</v>
      </c>
      <c r="F196">
        <f>MAX(0,B196-[1]Sheet1!$F$4)*[1]Sheet1!$H$4</f>
        <v>3.2115750000000003</v>
      </c>
      <c r="G196">
        <f>MAX(0,B196-[1]Sheet1!$F$5)*[2]Sheet1!$E$26/50</f>
        <v>2170.4175000000005</v>
      </c>
    </row>
    <row r="197" spans="1:7" x14ac:dyDescent="0.3">
      <c r="A197" s="3">
        <v>45260</v>
      </c>
      <c r="B197">
        <v>540.5474999999999</v>
      </c>
      <c r="D197">
        <f>MAX(0,B197-[1]Sheet1!$F$3)*[1]Sheet1!$H$3</f>
        <v>2.9054749999999991</v>
      </c>
      <c r="E197">
        <f>MAX(0,B197-[1]Sheet1!$F$7)*[1]Sheet1!$H$7</f>
        <v>0.48328499999999941</v>
      </c>
      <c r="F197">
        <f>MAX(0,B197-[1]Sheet1!$F$4)*[1]Sheet1!$H$4</f>
        <v>2.9054749999999991</v>
      </c>
      <c r="G197">
        <f>MAX(0,B197-[1]Sheet1!$F$5)*[2]Sheet1!$E$26/50</f>
        <v>1894.9274999999991</v>
      </c>
    </row>
    <row r="198" spans="1:7" x14ac:dyDescent="0.3">
      <c r="A198" s="3">
        <v>45291</v>
      </c>
      <c r="B198">
        <v>520.84799999999996</v>
      </c>
      <c r="D198">
        <f>MAX(0,B198-[1]Sheet1!$F$3)*[1]Sheet1!$H$3</f>
        <v>2.7084799999999998</v>
      </c>
      <c r="E198">
        <f>MAX(0,B198-[1]Sheet1!$F$7)*[1]Sheet1!$H$7</f>
        <v>0.36508799999999975</v>
      </c>
      <c r="F198">
        <f>MAX(0,B198-[1]Sheet1!$F$4)*[1]Sheet1!$H$4</f>
        <v>2.7084799999999998</v>
      </c>
      <c r="G198">
        <f>MAX(0,B198-[1]Sheet1!$F$5)*[2]Sheet1!$E$26/50</f>
        <v>1717.6319999999996</v>
      </c>
    </row>
    <row r="199" spans="1:7" x14ac:dyDescent="0.3">
      <c r="A199" s="3">
        <v>45322</v>
      </c>
      <c r="B199">
        <v>534.32249999999999</v>
      </c>
      <c r="D199">
        <f>MAX(0,B199-[1]Sheet1!$F$3)*[1]Sheet1!$H$3</f>
        <v>2.8432249999999999</v>
      </c>
      <c r="E199">
        <f>MAX(0,B199-[1]Sheet1!$F$7)*[1]Sheet1!$H$7</f>
        <v>0.44593499999999997</v>
      </c>
      <c r="F199">
        <f>MAX(0,B199-[1]Sheet1!$F$4)*[1]Sheet1!$H$4</f>
        <v>2.8432249999999999</v>
      </c>
      <c r="G199">
        <f>MAX(0,B199-[1]Sheet1!$F$5)*[2]Sheet1!$E$26/50</f>
        <v>1838.9024999999999</v>
      </c>
    </row>
    <row r="200" spans="1:7" x14ac:dyDescent="0.3">
      <c r="A200" s="3">
        <v>45351</v>
      </c>
      <c r="B200">
        <v>548.745</v>
      </c>
      <c r="D200">
        <f>MAX(0,B200-[1]Sheet1!$F$3)*[1]Sheet1!$H$3</f>
        <v>2.9874499999999999</v>
      </c>
      <c r="E200">
        <f>MAX(0,B200-[1]Sheet1!$F$7)*[1]Sheet1!$H$7</f>
        <v>0.53247</v>
      </c>
      <c r="F200">
        <f>MAX(0,B200-[1]Sheet1!$F$4)*[1]Sheet1!$H$4</f>
        <v>2.9874499999999999</v>
      </c>
      <c r="G200">
        <f>MAX(0,B200-[1]Sheet1!$F$5)*[2]Sheet1!$E$26/50</f>
        <v>1968.7049999999999</v>
      </c>
    </row>
    <row r="201" spans="1:7" x14ac:dyDescent="0.3">
      <c r="A201" s="3">
        <v>45382</v>
      </c>
      <c r="B201">
        <v>573.97</v>
      </c>
      <c r="D201">
        <f>MAX(0,B201-[1]Sheet1!$F$3)*[1]Sheet1!$H$3</f>
        <v>3.2397000000000005</v>
      </c>
      <c r="E201">
        <f>MAX(0,B201-[1]Sheet1!$F$7)*[1]Sheet1!$H$7</f>
        <v>0.68382000000000021</v>
      </c>
      <c r="F201">
        <f>MAX(0,B201-[1]Sheet1!$F$4)*[1]Sheet1!$H$4</f>
        <v>3.2397000000000005</v>
      </c>
      <c r="G201">
        <f>MAX(0,B201-[1]Sheet1!$F$5)*[2]Sheet1!$E$26/50</f>
        <v>2195.7300000000005</v>
      </c>
    </row>
    <row r="202" spans="1:7" x14ac:dyDescent="0.3">
      <c r="A202" s="3">
        <v>45412</v>
      </c>
      <c r="B202">
        <v>592.48</v>
      </c>
      <c r="D202">
        <f>MAX(0,B202-[1]Sheet1!$F$3)*[1]Sheet1!$H$3</f>
        <v>3.4248000000000003</v>
      </c>
      <c r="E202">
        <f>MAX(0,B202-[1]Sheet1!$F$7)*[1]Sheet1!$H$7</f>
        <v>0.79488000000000014</v>
      </c>
      <c r="F202">
        <f>MAX(0,B202-[1]Sheet1!$F$4)*[1]Sheet1!$H$4</f>
        <v>3.4248000000000003</v>
      </c>
      <c r="G202">
        <f>MAX(0,B202-[1]Sheet1!$F$5)*[2]Sheet1!$E$26/50</f>
        <v>2362.3200000000002</v>
      </c>
    </row>
    <row r="203" spans="1:7" x14ac:dyDescent="0.3">
      <c r="A203" s="3">
        <v>45443</v>
      </c>
      <c r="B203">
        <v>542.73400000000004</v>
      </c>
      <c r="D203">
        <f>MAX(0,B203-[1]Sheet1!$F$3)*[1]Sheet1!$H$3</f>
        <v>2.9273400000000005</v>
      </c>
      <c r="E203">
        <f>MAX(0,B203-[1]Sheet1!$F$7)*[1]Sheet1!$H$7</f>
        <v>0.49640400000000023</v>
      </c>
      <c r="F203">
        <f>MAX(0,B203-[1]Sheet1!$F$4)*[1]Sheet1!$H$4</f>
        <v>2.9273400000000005</v>
      </c>
      <c r="G203">
        <f>MAX(0,B203-[1]Sheet1!$F$5)*[2]Sheet1!$E$26/50</f>
        <v>1914.6060000000004</v>
      </c>
    </row>
    <row r="204" spans="1:7" x14ac:dyDescent="0.3">
      <c r="A204" s="3">
        <v>45473</v>
      </c>
      <c r="B204">
        <v>542.56000000000006</v>
      </c>
      <c r="D204">
        <f>MAX(0,B204-[1]Sheet1!$F$3)*[1]Sheet1!$H$3</f>
        <v>2.9256000000000006</v>
      </c>
      <c r="E204">
        <f>MAX(0,B204-[1]Sheet1!$F$7)*[1]Sheet1!$H$7</f>
        <v>0.49536000000000036</v>
      </c>
      <c r="F204">
        <f>MAX(0,B204-[1]Sheet1!$F$4)*[1]Sheet1!$H$4</f>
        <v>2.9256000000000006</v>
      </c>
      <c r="G204">
        <f>MAX(0,B204-[1]Sheet1!$F$5)*[2]Sheet1!$E$26/50</f>
        <v>1913.0400000000006</v>
      </c>
    </row>
    <row r="205" spans="1:7" x14ac:dyDescent="0.3">
      <c r="A205" s="3">
        <v>45504</v>
      </c>
      <c r="B205">
        <v>547.67250000000001</v>
      </c>
      <c r="D205">
        <f>MAX(0,B205-[1]Sheet1!$F$3)*[1]Sheet1!$H$3</f>
        <v>2.9767250000000001</v>
      </c>
      <c r="E205">
        <f>MAX(0,B205-[1]Sheet1!$F$7)*[1]Sheet1!$H$7</f>
        <v>0.52603500000000014</v>
      </c>
      <c r="F205">
        <f>MAX(0,B205-[1]Sheet1!$F$4)*[1]Sheet1!$H$4</f>
        <v>2.9767250000000001</v>
      </c>
      <c r="G205">
        <f>MAX(0,B205-[1]Sheet1!$F$5)*[2]Sheet1!$E$26/50</f>
        <v>1959.0525</v>
      </c>
    </row>
    <row r="206" spans="1:7" x14ac:dyDescent="0.3">
      <c r="A206" s="3">
        <v>45535</v>
      </c>
      <c r="B206">
        <v>521.60600000000011</v>
      </c>
      <c r="D206">
        <f>MAX(0,B206-[1]Sheet1!$F$3)*[1]Sheet1!$H$3</f>
        <v>2.716060000000001</v>
      </c>
      <c r="E206">
        <f>MAX(0,B206-[1]Sheet1!$F$7)*[1]Sheet1!$H$7</f>
        <v>0.36963600000000063</v>
      </c>
      <c r="F206">
        <f>MAX(0,B206-[1]Sheet1!$F$4)*[1]Sheet1!$H$4</f>
        <v>2.716060000000001</v>
      </c>
      <c r="G206">
        <f>MAX(0,B206-[1]Sheet1!$F$5)*[2]Sheet1!$E$26/50</f>
        <v>1724.4540000000011</v>
      </c>
    </row>
    <row r="207" spans="1:7" x14ac:dyDescent="0.3">
      <c r="A207" s="3">
        <v>45565</v>
      </c>
      <c r="B207">
        <v>486.39249999999993</v>
      </c>
      <c r="D207">
        <f>MAX(0,B207-[1]Sheet1!$F$3)*[1]Sheet1!$H$3</f>
        <v>2.3639249999999992</v>
      </c>
      <c r="E207">
        <f>MAX(0,B207-[1]Sheet1!$F$7)*[1]Sheet1!$H$7</f>
        <v>0.15835499999999958</v>
      </c>
      <c r="F207">
        <f>MAX(0,B207-[1]Sheet1!$F$4)*[1]Sheet1!$H$4</f>
        <v>2.3639249999999992</v>
      </c>
      <c r="G207">
        <f>MAX(0,B207-[1]Sheet1!$F$5)*[2]Sheet1!$E$26/50</f>
        <v>1407.5324999999993</v>
      </c>
    </row>
    <row r="208" spans="1:7" x14ac:dyDescent="0.3">
      <c r="A208" s="3">
        <v>45596</v>
      </c>
      <c r="B208">
        <v>513.46749999999997</v>
      </c>
      <c r="D208">
        <f>MAX(0,B208-[1]Sheet1!$F$3)*[1]Sheet1!$H$3</f>
        <v>2.6346749999999997</v>
      </c>
      <c r="E208">
        <f>MAX(0,B208-[1]Sheet1!$F$7)*[1]Sheet1!$H$7</f>
        <v>0.32080499999999984</v>
      </c>
      <c r="F208">
        <f>MAX(0,B208-[1]Sheet1!$F$4)*[1]Sheet1!$H$4</f>
        <v>2.6346749999999997</v>
      </c>
      <c r="G208">
        <f>MAX(0,B208-[1]Sheet1!$F$5)*[2]Sheet1!$E$26/50</f>
        <v>1651.2074999999998</v>
      </c>
    </row>
    <row r="209" spans="1:7" x14ac:dyDescent="0.3">
      <c r="A209" s="3">
        <v>45626</v>
      </c>
      <c r="B209">
        <v>490.34199999999998</v>
      </c>
      <c r="D209">
        <f>MAX(0,B209-[1]Sheet1!$F$3)*[1]Sheet1!$H$3</f>
        <v>2.4034200000000001</v>
      </c>
      <c r="E209">
        <f>MAX(0,B209-[1]Sheet1!$F$7)*[1]Sheet1!$H$7</f>
        <v>0.18205199999999991</v>
      </c>
      <c r="F209">
        <f>MAX(0,B209-[1]Sheet1!$F$4)*[1]Sheet1!$H$4</f>
        <v>2.4034200000000001</v>
      </c>
      <c r="G209">
        <f>MAX(0,B209-[1]Sheet1!$F$5)*[2]Sheet1!$E$26/50</f>
        <v>1443.078</v>
      </c>
    </row>
    <row r="210" spans="1:7" x14ac:dyDescent="0.3">
      <c r="A210" s="3">
        <v>45657</v>
      </c>
      <c r="B210">
        <v>505.13249999999999</v>
      </c>
      <c r="D210">
        <f>MAX(0,B210-[1]Sheet1!$F$3)*[1]Sheet1!$H$3</f>
        <v>2.5513249999999998</v>
      </c>
      <c r="E210">
        <f>MAX(0,B210-[1]Sheet1!$F$7)*[1]Sheet1!$H$7</f>
        <v>0.27079499999999995</v>
      </c>
      <c r="F210">
        <f>MAX(0,B210-[1]Sheet1!$F$4)*[1]Sheet1!$H$4</f>
        <v>2.5513249999999998</v>
      </c>
      <c r="G210">
        <f>MAX(0,B210-[1]Sheet1!$F$5)*[2]Sheet1!$E$26/50</f>
        <v>1576.1925000000001</v>
      </c>
    </row>
    <row r="211" spans="1:7" x14ac:dyDescent="0.3">
      <c r="A211" s="3">
        <v>45688</v>
      </c>
      <c r="B211">
        <v>524.976</v>
      </c>
      <c r="D211">
        <f>MAX(0,B211-[1]Sheet1!$F$3)*[1]Sheet1!$H$3</f>
        <v>2.7497600000000002</v>
      </c>
      <c r="E211">
        <f>MAX(0,B211-[1]Sheet1!$F$7)*[1]Sheet1!$H$7</f>
        <v>0.38985599999999998</v>
      </c>
      <c r="F211">
        <f>MAX(0,B211-[1]Sheet1!$F$4)*[1]Sheet1!$H$4</f>
        <v>2.7497600000000002</v>
      </c>
      <c r="G211">
        <f>MAX(0,B211-[1]Sheet1!$F$5)*[2]Sheet1!$E$26/50</f>
        <v>1754.7839999999999</v>
      </c>
    </row>
    <row r="212" spans="1:7" x14ac:dyDescent="0.3">
      <c r="A212" s="3">
        <v>45716</v>
      </c>
      <c r="B212">
        <v>502.67249999999996</v>
      </c>
      <c r="D212">
        <f>MAX(0,B212-[1]Sheet1!$F$3)*[1]Sheet1!$H$3</f>
        <v>2.5267249999999994</v>
      </c>
      <c r="E212">
        <f>MAX(0,B212-[1]Sheet1!$F$7)*[1]Sheet1!$H$7</f>
        <v>0.25603499999999974</v>
      </c>
      <c r="F212">
        <f>MAX(0,B212-[1]Sheet1!$F$4)*[1]Sheet1!$H$4</f>
        <v>2.5267249999999994</v>
      </c>
      <c r="G212">
        <f>MAX(0,B212-[1]Sheet1!$F$5)*[2]Sheet1!$E$26/50</f>
        <v>1554.0524999999998</v>
      </c>
    </row>
    <row r="213" spans="1:7" x14ac:dyDescent="0.3">
      <c r="A213" s="3">
        <v>45747</v>
      </c>
      <c r="B213">
        <v>468.57749999999999</v>
      </c>
      <c r="D213">
        <f>MAX(0,B213-[1]Sheet1!$F$3)*[1]Sheet1!$H$3</f>
        <v>2.185775</v>
      </c>
      <c r="E213">
        <f>MAX(0,B213-[1]Sheet1!$F$7)*[1]Sheet1!$H$7</f>
        <v>5.1464999999999921E-2</v>
      </c>
      <c r="F213">
        <f>MAX(0,B213-[1]Sheet1!$F$4)*[1]Sheet1!$H$4</f>
        <v>2.185775</v>
      </c>
      <c r="G213">
        <f>MAX(0,B213-[1]Sheet1!$F$5)*[2]Sheet1!$E$26/50</f>
        <v>1247.1974999999998</v>
      </c>
    </row>
    <row r="214" spans="1:7" x14ac:dyDescent="0.3">
      <c r="A214" s="3">
        <v>45777</v>
      </c>
      <c r="B214">
        <v>437.19749999999999</v>
      </c>
      <c r="D214">
        <f>MAX(0,B214-[1]Sheet1!$F$3)*[1]Sheet1!$H$3</f>
        <v>1.8719749999999999</v>
      </c>
      <c r="E214">
        <f>MAX(0,B214-[1]Sheet1!$F$7)*[1]Sheet1!$H$7</f>
        <v>0</v>
      </c>
      <c r="F214">
        <f>MAX(0,B214-[1]Sheet1!$F$4)*[1]Sheet1!$H$4</f>
        <v>1.8719749999999999</v>
      </c>
      <c r="G214">
        <f>MAX(0,B214-[1]Sheet1!$F$5)*[2]Sheet1!$E$26/50</f>
        <v>964.7774999999998</v>
      </c>
    </row>
    <row r="215" spans="1:7" x14ac:dyDescent="0.3">
      <c r="A215" s="3">
        <v>45808</v>
      </c>
      <c r="B215">
        <v>438.07</v>
      </c>
      <c r="D215">
        <f>MAX(0,B215-[1]Sheet1!$F$3)*[1]Sheet1!$H$3</f>
        <v>1.8807</v>
      </c>
      <c r="E215">
        <f>MAX(0,B215-[1]Sheet1!$F$7)*[1]Sheet1!$H$7</f>
        <v>0</v>
      </c>
      <c r="F215">
        <f>MAX(0,B215-[1]Sheet1!$F$4)*[1]Sheet1!$H$4</f>
        <v>1.8807</v>
      </c>
      <c r="G215">
        <f>MAX(0,B215-[1]Sheet1!$F$5)*[2]Sheet1!$E$26/50</f>
        <v>972.63</v>
      </c>
    </row>
    <row r="216" spans="1:7" x14ac:dyDescent="0.3">
      <c r="A216" s="3">
        <v>45838</v>
      </c>
      <c r="B216">
        <v>481.86999999999995</v>
      </c>
      <c r="D216">
        <f>MAX(0,B216-[1]Sheet1!$F$3)*[1]Sheet1!$H$3</f>
        <v>2.3186999999999993</v>
      </c>
      <c r="E216">
        <f>MAX(0,B216-[1]Sheet1!$F$7)*[1]Sheet1!$H$7</f>
        <v>0.1312199999999997</v>
      </c>
      <c r="F216">
        <f>MAX(0,B216-[1]Sheet1!$F$4)*[1]Sheet1!$H$4</f>
        <v>2.3186999999999993</v>
      </c>
      <c r="G216">
        <f>MAX(0,B216-[1]Sheet1!$F$5)*[2]Sheet1!$E$26/50</f>
        <v>1366.8299999999995</v>
      </c>
    </row>
    <row r="217" spans="1:7" x14ac:dyDescent="0.3">
      <c r="A217" s="3">
        <v>45869</v>
      </c>
      <c r="B217">
        <v>468.49749999999995</v>
      </c>
      <c r="D217">
        <f>MAX(0,B217-[1]Sheet1!$F$3)*[1]Sheet1!$H$3</f>
        <v>2.1849749999999997</v>
      </c>
      <c r="E217">
        <f>MAX(0,B217-[1]Sheet1!$F$7)*[1]Sheet1!$H$7</f>
        <v>5.0984999999999676E-2</v>
      </c>
      <c r="F217">
        <f>MAX(0,B217-[1]Sheet1!$F$4)*[1]Sheet1!$H$4</f>
        <v>2.1849749999999997</v>
      </c>
      <c r="G217">
        <f>MAX(0,B217-[1]Sheet1!$F$5)*[2]Sheet1!$E$26/50</f>
        <v>1246.4774999999995</v>
      </c>
    </row>
    <row r="218" spans="1:7" x14ac:dyDescent="0.3">
      <c r="A218" s="3">
        <v>45900</v>
      </c>
      <c r="B218">
        <v>457.09000000000003</v>
      </c>
      <c r="D218">
        <f>MAX(0,B218-[1]Sheet1!$F$3)*[1]Sheet1!$H$3</f>
        <v>2.0709000000000004</v>
      </c>
      <c r="E218">
        <f>MAX(0,B218-[1]Sheet1!$F$7)*[1]Sheet1!$H$7</f>
        <v>0</v>
      </c>
      <c r="F218">
        <f>MAX(0,B218-[1]Sheet1!$F$4)*[1]Sheet1!$H$4</f>
        <v>2.0709000000000004</v>
      </c>
      <c r="G218">
        <f>MAX(0,B218-[1]Sheet1!$F$5)*[2]Sheet1!$E$26/50</f>
        <v>1143.8100000000004</v>
      </c>
    </row>
    <row r="219" spans="1:7" x14ac:dyDescent="0.3">
      <c r="A219" s="3">
        <v>45930</v>
      </c>
      <c r="B219">
        <v>435.1</v>
      </c>
      <c r="D219">
        <f>MAX(0,B219-[1]Sheet1!$F$3)*[1]Sheet1!$H$3</f>
        <v>1.8510000000000002</v>
      </c>
      <c r="E219">
        <f>MAX(0,B219-[1]Sheet1!$F$7)*[1]Sheet1!$H$7</f>
        <v>0</v>
      </c>
      <c r="F219">
        <f>MAX(0,B219-[1]Sheet1!$F$4)*[1]Sheet1!$H$4</f>
        <v>1.8510000000000002</v>
      </c>
      <c r="G219">
        <f>MAX(0,B219-[1]Sheet1!$F$5)*[2]Sheet1!$E$26/50</f>
        <v>945.90000000000009</v>
      </c>
    </row>
    <row r="220" spans="1:7" x14ac:dyDescent="0.3">
      <c r="A220" s="3">
        <v>45961</v>
      </c>
      <c r="B220">
        <v>411.58199999999999</v>
      </c>
      <c r="D220">
        <f>MAX(0,B220-[1]Sheet1!$F$3)*[1]Sheet1!$H$3</f>
        <v>1.61582</v>
      </c>
      <c r="E220">
        <f>MAX(0,B220-[1]Sheet1!$F$7)*[1]Sheet1!$H$7</f>
        <v>0</v>
      </c>
      <c r="F220">
        <f>MAX(0,B220-[1]Sheet1!$F$4)*[1]Sheet1!$H$4</f>
        <v>1.61582</v>
      </c>
      <c r="G220">
        <f>MAX(0,B220-[1]Sheet1!$F$5)*[2]Sheet1!$E$26/50</f>
        <v>734.23799999999983</v>
      </c>
    </row>
    <row r="221" spans="1:7" x14ac:dyDescent="0.3">
      <c r="A221" s="3">
        <v>45991</v>
      </c>
      <c r="B221">
        <v>402.58500000000004</v>
      </c>
      <c r="D221">
        <f>MAX(0,B221-[1]Sheet1!$F$3)*[1]Sheet1!$H$3</f>
        <v>1.5258500000000004</v>
      </c>
      <c r="E221">
        <f>MAX(0,B221-[1]Sheet1!$F$7)*[1]Sheet1!$H$7</f>
        <v>0</v>
      </c>
      <c r="F221">
        <f>MAX(0,B221-[1]Sheet1!$F$4)*[1]Sheet1!$H$4</f>
        <v>1.5258500000000004</v>
      </c>
      <c r="G221">
        <f>MAX(0,B221-[1]Sheet1!$F$5)*[2]Sheet1!$E$26/50</f>
        <v>653.26500000000033</v>
      </c>
    </row>
    <row r="222" spans="1:7" x14ac:dyDescent="0.3">
      <c r="A222" s="3">
        <v>46022</v>
      </c>
      <c r="B222">
        <v>380.79749999999996</v>
      </c>
      <c r="D222">
        <f>MAX(0,B222-[1]Sheet1!$F$3)*[1]Sheet1!$H$3</f>
        <v>1.3079749999999997</v>
      </c>
      <c r="E222">
        <f>MAX(0,B222-[1]Sheet1!$F$7)*[1]Sheet1!$H$7</f>
        <v>0</v>
      </c>
      <c r="F222">
        <f>MAX(0,B222-[1]Sheet1!$F$4)*[1]Sheet1!$H$4</f>
        <v>1.3079749999999997</v>
      </c>
      <c r="G222">
        <f>MAX(0,B222-[1]Sheet1!$F$5)*[2]Sheet1!$E$26/50</f>
        <v>457.17749999999961</v>
      </c>
    </row>
    <row r="223" spans="1:7" x14ac:dyDescent="0.3">
      <c r="A223" s="3">
        <v>46053</v>
      </c>
      <c r="B223">
        <v>392.19200000000001</v>
      </c>
      <c r="D223">
        <f>MAX(0,B223-[1]Sheet1!$F$3)*[1]Sheet1!$H$3</f>
        <v>1.4219200000000001</v>
      </c>
      <c r="E223">
        <f>MAX(0,B223-[1]Sheet1!$F$7)*[1]Sheet1!$H$7</f>
        <v>0</v>
      </c>
      <c r="F223">
        <f>MAX(0,B223-[1]Sheet1!$F$4)*[1]Sheet1!$H$4</f>
        <v>1.4219200000000001</v>
      </c>
      <c r="G223">
        <f>MAX(0,B223-[1]Sheet1!$F$5)*[2]Sheet1!$E$26/50</f>
        <v>559.72800000000007</v>
      </c>
    </row>
    <row r="224" spans="1:7" x14ac:dyDescent="0.3">
      <c r="A224" s="3">
        <v>46081</v>
      </c>
      <c r="B224">
        <v>416.45</v>
      </c>
      <c r="C224" s="6">
        <f>_xlfn.FORECAST.ETS(A224,$B$2:$B$224,$A$2:$A$224)</f>
        <v>416.45</v>
      </c>
      <c r="D224">
        <f>MAX(0,B224-[1]Sheet1!$F$3)*[1]Sheet1!$H$3</f>
        <v>1.6644999999999999</v>
      </c>
      <c r="E224">
        <f>MAX(0,B224-[1]Sheet1!$F$7)*[1]Sheet1!$H$7</f>
        <v>0</v>
      </c>
      <c r="F224">
        <f>MAX(0,B224-[1]Sheet1!$F$4)*[1]Sheet1!$H$4</f>
        <v>1.6644999999999999</v>
      </c>
      <c r="G224">
        <f>MAX(0,B224-[1]Sheet1!$F$5)*[2]Sheet1!$E$26/50</f>
        <v>778.04999999999984</v>
      </c>
    </row>
    <row r="225" spans="1:7" x14ac:dyDescent="0.3">
      <c r="A225" s="3">
        <v>46112</v>
      </c>
      <c r="C225" s="6">
        <f t="shared" ref="C225:C230" si="0">_xlfn.FORECAST.ETS(A225,$B$2:$B$224,$A$2:$A$224)</f>
        <v>417.06540947377738</v>
      </c>
      <c r="D225">
        <f>MAX(0,C225-[1]Sheet1!$F$3)*[1]Sheet1!$H$3</f>
        <v>1.6706540947377739</v>
      </c>
      <c r="E225">
        <f>MAX(0,C225-[1]Sheet1!$F$7)*[1]Sheet1!$H$7</f>
        <v>0</v>
      </c>
      <c r="F225">
        <f>MAX(0,C225-[1]Sheet1!$F$4)*[1]Sheet1!$H$4</f>
        <v>1.6706540947377739</v>
      </c>
      <c r="G225">
        <f>MAX(0,C225-[1]Sheet1!$F$5)*[2]Sheet1!$E$26/50</f>
        <v>783.58868526399647</v>
      </c>
    </row>
    <row r="226" spans="1:7" x14ac:dyDescent="0.3">
      <c r="A226" s="3">
        <v>46142</v>
      </c>
      <c r="C226" s="6">
        <f t="shared" si="0"/>
        <v>417.60962451823536</v>
      </c>
      <c r="D226">
        <f>MAX(0,C226-[1]Sheet1!$F$3)*[1]Sheet1!$H$3</f>
        <v>1.6760962451823538</v>
      </c>
      <c r="E226">
        <f>MAX(0,C226-[1]Sheet1!$F$7)*[1]Sheet1!$H$7</f>
        <v>0</v>
      </c>
      <c r="F226">
        <f>MAX(0,C226-[1]Sheet1!$F$4)*[1]Sheet1!$H$4</f>
        <v>1.6760962451823538</v>
      </c>
      <c r="G226">
        <f>MAX(0,C226-[1]Sheet1!$F$5)*[2]Sheet1!$E$26/50</f>
        <v>788.48662066411828</v>
      </c>
    </row>
    <row r="227" spans="1:7" x14ac:dyDescent="0.3">
      <c r="A227" s="3">
        <v>46173</v>
      </c>
      <c r="C227" s="6">
        <f t="shared" si="0"/>
        <v>418.18762674948903</v>
      </c>
      <c r="D227">
        <f>MAX(0,C227-[1]Sheet1!$F$3)*[1]Sheet1!$H$3</f>
        <v>1.6818762674948904</v>
      </c>
      <c r="E227">
        <f>MAX(0,C227-[1]Sheet1!$F$7)*[1]Sheet1!$H$7</f>
        <v>0</v>
      </c>
      <c r="F227">
        <f>MAX(0,C227-[1]Sheet1!$F$4)*[1]Sheet1!$H$4</f>
        <v>1.6818762674948904</v>
      </c>
      <c r="G227">
        <f>MAX(0,C227-[1]Sheet1!$F$5)*[2]Sheet1!$E$26/50</f>
        <v>793.68864074540124</v>
      </c>
    </row>
    <row r="228" spans="1:7" x14ac:dyDescent="0.3">
      <c r="A228" s="3">
        <v>46203</v>
      </c>
      <c r="C228" s="6">
        <f t="shared" si="0"/>
        <v>418.73184179394707</v>
      </c>
      <c r="D228">
        <f>MAX(0,C228-[1]Sheet1!$F$3)*[1]Sheet1!$H$3</f>
        <v>1.6873184179394707</v>
      </c>
      <c r="E228">
        <f>MAX(0,C228-[1]Sheet1!$F$7)*[1]Sheet1!$H$7</f>
        <v>0</v>
      </c>
      <c r="F228">
        <f>MAX(0,C228-[1]Sheet1!$F$4)*[1]Sheet1!$H$4</f>
        <v>1.6873184179394707</v>
      </c>
      <c r="G228">
        <f>MAX(0,C228-[1]Sheet1!$F$5)*[2]Sheet1!$E$26/50</f>
        <v>798.58657614552362</v>
      </c>
    </row>
    <row r="229" spans="1:7" x14ac:dyDescent="0.3">
      <c r="A229" s="3">
        <v>46234</v>
      </c>
      <c r="C229" s="6">
        <f t="shared" si="0"/>
        <v>419.30984402520068</v>
      </c>
      <c r="D229">
        <f>MAX(0,C229-[1]Sheet1!$F$3)*[1]Sheet1!$H$3</f>
        <v>1.6930984402520068</v>
      </c>
      <c r="E229">
        <f>MAX(0,C229-[1]Sheet1!$F$7)*[1]Sheet1!$H$7</f>
        <v>0</v>
      </c>
      <c r="F229">
        <f>MAX(0,C229-[1]Sheet1!$F$4)*[1]Sheet1!$H$4</f>
        <v>1.6930984402520068</v>
      </c>
      <c r="G229">
        <f>MAX(0,C229-[1]Sheet1!$F$5)*[2]Sheet1!$E$26/50</f>
        <v>803.78859622680613</v>
      </c>
    </row>
    <row r="230" spans="1:7" x14ac:dyDescent="0.3">
      <c r="A230" s="3">
        <v>46265</v>
      </c>
      <c r="C230" s="6">
        <f t="shared" si="0"/>
        <v>419.87095266305653</v>
      </c>
      <c r="D230">
        <f>MAX(0,C230-[1]Sheet1!$F$3)*[1]Sheet1!$H$3</f>
        <v>1.6987095266305654</v>
      </c>
      <c r="E230">
        <f>MAX(0,C230-[1]Sheet1!$F$7)*[1]Sheet1!$H$7</f>
        <v>0</v>
      </c>
      <c r="F230">
        <f>MAX(0,C230-[1]Sheet1!$F$4)*[1]Sheet1!$H$4</f>
        <v>1.6987095266305654</v>
      </c>
      <c r="G230">
        <f>MAX(0,C230-[1]Sheet1!$F$5)*[2]Sheet1!$E$26/50</f>
        <v>808.83857396750875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0587-CB43-42F4-8B54-52E2B7F6558C}">
  <dimension ref="A1:E224"/>
  <sheetViews>
    <sheetView tabSelected="1" workbookViewId="0">
      <selection activeCell="M26" sqref="M26"/>
    </sheetView>
  </sheetViews>
  <sheetFormatPr defaultRowHeight="14.4" x14ac:dyDescent="0.3"/>
  <cols>
    <col min="1" max="1" width="10.33203125" bestFit="1" customWidth="1"/>
    <col min="2" max="2" width="49.33203125" bestFit="1" customWidth="1"/>
    <col min="3" max="3" width="29.33203125" bestFit="1" customWidth="1"/>
  </cols>
  <sheetData>
    <row r="1" spans="1:3" x14ac:dyDescent="0.3">
      <c r="A1" s="4" t="s">
        <v>4</v>
      </c>
      <c r="B1" s="4" t="s">
        <v>6</v>
      </c>
      <c r="C1" s="4" t="s">
        <v>7</v>
      </c>
    </row>
    <row r="2" spans="1:3" x14ac:dyDescent="0.3">
      <c r="A2" s="3">
        <v>39325</v>
      </c>
      <c r="C2">
        <v>71.777999999999992</v>
      </c>
    </row>
    <row r="3" spans="1:3" x14ac:dyDescent="0.3">
      <c r="A3" s="3">
        <v>39355</v>
      </c>
      <c r="C3">
        <v>77.44</v>
      </c>
    </row>
    <row r="4" spans="1:3" x14ac:dyDescent="0.3">
      <c r="A4" s="3">
        <v>39386</v>
      </c>
      <c r="C4">
        <v>82.982500000000002</v>
      </c>
    </row>
    <row r="5" spans="1:3" x14ac:dyDescent="0.3">
      <c r="A5" s="3">
        <v>39416</v>
      </c>
      <c r="C5">
        <v>92.179999999999993</v>
      </c>
    </row>
    <row r="6" spans="1:3" x14ac:dyDescent="0.3">
      <c r="A6" s="3">
        <v>39447</v>
      </c>
      <c r="C6">
        <v>91.912499999999994</v>
      </c>
    </row>
    <row r="7" spans="1:3" x14ac:dyDescent="0.3">
      <c r="A7" s="3">
        <v>39478</v>
      </c>
      <c r="C7">
        <v>91.997500000000002</v>
      </c>
    </row>
    <row r="8" spans="1:3" x14ac:dyDescent="0.3">
      <c r="A8" s="3">
        <v>39507</v>
      </c>
      <c r="C8">
        <v>94.623999999999995</v>
      </c>
    </row>
    <row r="9" spans="1:3" x14ac:dyDescent="0.3">
      <c r="A9" s="3">
        <v>39538</v>
      </c>
      <c r="C9">
        <v>103.52</v>
      </c>
    </row>
    <row r="10" spans="1:3" x14ac:dyDescent="0.3">
      <c r="A10" s="3">
        <v>39568</v>
      </c>
      <c r="C10">
        <v>110.97749999999999</v>
      </c>
    </row>
    <row r="11" spans="1:3" x14ac:dyDescent="0.3">
      <c r="A11" s="3">
        <v>39599</v>
      </c>
      <c r="C11">
        <v>124.85999999999999</v>
      </c>
    </row>
    <row r="12" spans="1:3" x14ac:dyDescent="0.3">
      <c r="A12" s="3">
        <v>39629</v>
      </c>
      <c r="C12">
        <v>136.7775</v>
      </c>
    </row>
    <row r="13" spans="1:3" x14ac:dyDescent="0.3">
      <c r="A13" s="3">
        <v>39660</v>
      </c>
      <c r="C13">
        <v>136.32000000000002</v>
      </c>
    </row>
    <row r="14" spans="1:3" x14ac:dyDescent="0.3">
      <c r="A14" s="3">
        <v>39691</v>
      </c>
      <c r="C14">
        <v>115.60599999999999</v>
      </c>
    </row>
    <row r="15" spans="1:3" x14ac:dyDescent="0.3">
      <c r="A15" s="3">
        <v>39721</v>
      </c>
      <c r="C15">
        <v>101.20500000000001</v>
      </c>
    </row>
    <row r="16" spans="1:3" x14ac:dyDescent="0.3">
      <c r="A16" s="3">
        <v>39752</v>
      </c>
      <c r="C16">
        <v>72.262</v>
      </c>
    </row>
    <row r="17" spans="1:5" x14ac:dyDescent="0.3">
      <c r="A17" s="3">
        <v>39782</v>
      </c>
      <c r="C17">
        <v>53.567500000000003</v>
      </c>
    </row>
    <row r="18" spans="1:5" x14ac:dyDescent="0.3">
      <c r="A18" s="3">
        <v>39813</v>
      </c>
      <c r="C18">
        <v>42.13</v>
      </c>
    </row>
    <row r="19" spans="1:5" x14ac:dyDescent="0.3">
      <c r="A19" s="3">
        <v>39844</v>
      </c>
      <c r="C19">
        <v>46.43</v>
      </c>
    </row>
    <row r="20" spans="1:5" x14ac:dyDescent="0.3">
      <c r="A20" s="3">
        <v>39872</v>
      </c>
      <c r="C20">
        <v>44.815000000000005</v>
      </c>
    </row>
    <row r="21" spans="1:5" x14ac:dyDescent="0.3">
      <c r="A21" s="3">
        <v>39903</v>
      </c>
      <c r="C21">
        <v>48.244999999999997</v>
      </c>
    </row>
    <row r="22" spans="1:5" x14ac:dyDescent="0.3">
      <c r="A22" s="3">
        <v>39933</v>
      </c>
      <c r="C22">
        <v>53.137500000000003</v>
      </c>
    </row>
    <row r="23" spans="1:5" x14ac:dyDescent="0.3">
      <c r="A23" s="3">
        <v>39964</v>
      </c>
      <c r="C23">
        <v>58.653999999999996</v>
      </c>
      <c r="E23" t="s">
        <v>14</v>
      </c>
    </row>
    <row r="24" spans="1:5" x14ac:dyDescent="0.3">
      <c r="A24" s="3">
        <v>39994</v>
      </c>
      <c r="C24">
        <v>69.342500000000001</v>
      </c>
    </row>
    <row r="25" spans="1:5" x14ac:dyDescent="0.3">
      <c r="A25" s="3">
        <v>40025</v>
      </c>
      <c r="C25">
        <v>66.914000000000001</v>
      </c>
    </row>
    <row r="26" spans="1:5" x14ac:dyDescent="0.3">
      <c r="A26" s="3">
        <v>40056</v>
      </c>
      <c r="C26">
        <v>73.245000000000005</v>
      </c>
    </row>
    <row r="27" spans="1:5" x14ac:dyDescent="0.3">
      <c r="A27" s="3">
        <v>40086</v>
      </c>
      <c r="C27">
        <v>67.734999999999999</v>
      </c>
    </row>
    <row r="28" spans="1:5" x14ac:dyDescent="0.3">
      <c r="A28" s="3">
        <v>40117</v>
      </c>
      <c r="C28">
        <v>73.835999999999999</v>
      </c>
    </row>
    <row r="29" spans="1:5" x14ac:dyDescent="0.3">
      <c r="A29" s="3">
        <v>40147</v>
      </c>
      <c r="C29">
        <v>76.45</v>
      </c>
    </row>
    <row r="30" spans="1:5" x14ac:dyDescent="0.3">
      <c r="A30" s="3">
        <v>40178</v>
      </c>
      <c r="C30">
        <v>74.649999999999991</v>
      </c>
    </row>
    <row r="31" spans="1:5" x14ac:dyDescent="0.3">
      <c r="A31" s="3">
        <v>40209</v>
      </c>
      <c r="C31">
        <v>76.16</v>
      </c>
    </row>
    <row r="32" spans="1:5" x14ac:dyDescent="0.3">
      <c r="A32" s="3">
        <v>40237</v>
      </c>
      <c r="C32">
        <v>74.567499999999995</v>
      </c>
    </row>
    <row r="33" spans="1:3" x14ac:dyDescent="0.3">
      <c r="A33" s="3">
        <v>40268</v>
      </c>
      <c r="C33">
        <v>79.612499999999997</v>
      </c>
    </row>
    <row r="34" spans="1:3" x14ac:dyDescent="0.3">
      <c r="A34" s="3">
        <v>40298</v>
      </c>
      <c r="C34">
        <v>85.903999999999996</v>
      </c>
    </row>
    <row r="35" spans="1:3" x14ac:dyDescent="0.3">
      <c r="A35" s="3">
        <v>40329</v>
      </c>
      <c r="C35">
        <v>76.02</v>
      </c>
    </row>
    <row r="36" spans="1:3" x14ac:dyDescent="0.3">
      <c r="A36" s="3">
        <v>40359</v>
      </c>
      <c r="C36">
        <v>75.694999999999993</v>
      </c>
    </row>
    <row r="37" spans="1:3" x14ac:dyDescent="0.3">
      <c r="A37" s="3">
        <v>40390</v>
      </c>
      <c r="C37">
        <v>75.614000000000004</v>
      </c>
    </row>
    <row r="38" spans="1:3" x14ac:dyDescent="0.3">
      <c r="A38" s="3">
        <v>40421</v>
      </c>
      <c r="C38">
        <v>76.544999999999987</v>
      </c>
    </row>
    <row r="39" spans="1:3" x14ac:dyDescent="0.3">
      <c r="A39" s="3">
        <v>40451</v>
      </c>
      <c r="C39">
        <v>77.977499999999992</v>
      </c>
    </row>
    <row r="40" spans="1:3" x14ac:dyDescent="0.3">
      <c r="A40" s="3">
        <v>40482</v>
      </c>
      <c r="C40">
        <v>83.268000000000001</v>
      </c>
    </row>
    <row r="41" spans="1:3" x14ac:dyDescent="0.3">
      <c r="A41" s="3">
        <v>40512</v>
      </c>
      <c r="C41">
        <v>86.092499999999987</v>
      </c>
    </row>
    <row r="42" spans="1:3" x14ac:dyDescent="0.3">
      <c r="A42" s="3">
        <v>40543</v>
      </c>
      <c r="C42">
        <v>92.513999999999996</v>
      </c>
    </row>
    <row r="43" spans="1:3" x14ac:dyDescent="0.3">
      <c r="A43" s="3">
        <v>40574</v>
      </c>
      <c r="C43">
        <v>97.102500000000006</v>
      </c>
    </row>
    <row r="44" spans="1:3" x14ac:dyDescent="0.3">
      <c r="A44" s="3">
        <v>40602</v>
      </c>
      <c r="C44">
        <v>103.88499999999999</v>
      </c>
    </row>
    <row r="45" spans="1:3" x14ac:dyDescent="0.3">
      <c r="A45" s="3">
        <v>40633</v>
      </c>
      <c r="C45">
        <v>114.83250000000001</v>
      </c>
    </row>
    <row r="46" spans="1:3" x14ac:dyDescent="0.3">
      <c r="A46" s="3">
        <v>40663</v>
      </c>
      <c r="C46">
        <v>123.73600000000002</v>
      </c>
    </row>
    <row r="47" spans="1:3" x14ac:dyDescent="0.3">
      <c r="A47" s="3">
        <v>40694</v>
      </c>
      <c r="C47">
        <v>112.595</v>
      </c>
    </row>
    <row r="48" spans="1:3" x14ac:dyDescent="0.3">
      <c r="A48" s="3">
        <v>40724</v>
      </c>
      <c r="C48">
        <v>113.2375</v>
      </c>
    </row>
    <row r="49" spans="1:3" x14ac:dyDescent="0.3">
      <c r="A49" s="3">
        <v>40755</v>
      </c>
      <c r="C49">
        <v>116.554</v>
      </c>
    </row>
    <row r="50" spans="1:3" x14ac:dyDescent="0.3">
      <c r="A50" s="3">
        <v>40786</v>
      </c>
      <c r="C50">
        <v>109.345</v>
      </c>
    </row>
    <row r="51" spans="1:3" x14ac:dyDescent="0.3">
      <c r="A51" s="3">
        <v>40816</v>
      </c>
      <c r="C51">
        <v>108.80999999999999</v>
      </c>
    </row>
    <row r="52" spans="1:3" x14ac:dyDescent="0.3">
      <c r="A52" s="3">
        <v>40847</v>
      </c>
      <c r="C52">
        <v>110.00749999999999</v>
      </c>
    </row>
    <row r="53" spans="1:3" x14ac:dyDescent="0.3">
      <c r="A53" s="3">
        <v>40877</v>
      </c>
      <c r="C53">
        <v>110.02250000000001</v>
      </c>
    </row>
    <row r="54" spans="1:3" x14ac:dyDescent="0.3">
      <c r="A54" s="3">
        <v>40908</v>
      </c>
      <c r="C54">
        <v>107.45</v>
      </c>
    </row>
    <row r="55" spans="1:3" x14ac:dyDescent="0.3">
      <c r="A55" s="3">
        <v>40939</v>
      </c>
      <c r="C55">
        <v>111.205</v>
      </c>
    </row>
    <row r="56" spans="1:3" x14ac:dyDescent="0.3">
      <c r="A56" s="3">
        <v>40968</v>
      </c>
      <c r="C56">
        <v>119.23499999999999</v>
      </c>
    </row>
    <row r="57" spans="1:3" x14ac:dyDescent="0.3">
      <c r="A57" s="3">
        <v>40999</v>
      </c>
      <c r="C57">
        <v>124.69000000000001</v>
      </c>
    </row>
    <row r="58" spans="1:3" x14ac:dyDescent="0.3">
      <c r="A58" s="3">
        <v>41029</v>
      </c>
      <c r="C58">
        <v>120.96249999999999</v>
      </c>
    </row>
    <row r="59" spans="1:3" x14ac:dyDescent="0.3">
      <c r="A59" s="3">
        <v>41060</v>
      </c>
      <c r="C59">
        <v>109.85249999999999</v>
      </c>
    </row>
    <row r="60" spans="1:3" x14ac:dyDescent="0.3">
      <c r="A60" s="3">
        <v>41090</v>
      </c>
      <c r="C60">
        <v>96.858000000000004</v>
      </c>
    </row>
    <row r="61" spans="1:3" x14ac:dyDescent="0.3">
      <c r="A61" s="3">
        <v>41121</v>
      </c>
      <c r="C61">
        <v>103.4725</v>
      </c>
    </row>
    <row r="62" spans="1:3" x14ac:dyDescent="0.3">
      <c r="A62" s="3">
        <v>41152</v>
      </c>
      <c r="C62">
        <v>112.752</v>
      </c>
    </row>
    <row r="63" spans="1:3" x14ac:dyDescent="0.3">
      <c r="A63" s="3">
        <v>41182</v>
      </c>
      <c r="C63">
        <v>113.67999999999999</v>
      </c>
    </row>
    <row r="64" spans="1:3" x14ac:dyDescent="0.3">
      <c r="A64" s="3">
        <v>41213</v>
      </c>
      <c r="C64">
        <v>111.5825</v>
      </c>
    </row>
    <row r="65" spans="1:3" x14ac:dyDescent="0.3">
      <c r="A65" s="3">
        <v>41243</v>
      </c>
      <c r="C65">
        <v>109.328</v>
      </c>
    </row>
    <row r="66" spans="1:3" x14ac:dyDescent="0.3">
      <c r="A66" s="3">
        <v>41274</v>
      </c>
      <c r="C66">
        <v>108.94</v>
      </c>
    </row>
    <row r="67" spans="1:3" x14ac:dyDescent="0.3">
      <c r="A67" s="3">
        <v>41305</v>
      </c>
      <c r="C67">
        <v>111.78</v>
      </c>
    </row>
    <row r="68" spans="1:3" x14ac:dyDescent="0.3">
      <c r="A68" s="3">
        <v>41333</v>
      </c>
      <c r="C68">
        <v>116.85500000000002</v>
      </c>
    </row>
    <row r="69" spans="1:3" x14ac:dyDescent="0.3">
      <c r="A69" s="3">
        <v>41364</v>
      </c>
      <c r="C69">
        <v>109.75</v>
      </c>
    </row>
    <row r="70" spans="1:3" x14ac:dyDescent="0.3">
      <c r="A70" s="3">
        <v>41394</v>
      </c>
      <c r="C70">
        <v>102.50999999999999</v>
      </c>
    </row>
    <row r="71" spans="1:3" x14ac:dyDescent="0.3">
      <c r="A71" s="3">
        <v>41425</v>
      </c>
      <c r="C71">
        <v>103.154</v>
      </c>
    </row>
    <row r="72" spans="1:3" x14ac:dyDescent="0.3">
      <c r="A72" s="3">
        <v>41455</v>
      </c>
      <c r="C72">
        <v>103.38999999999999</v>
      </c>
    </row>
    <row r="73" spans="1:3" x14ac:dyDescent="0.3">
      <c r="A73" s="3">
        <v>41486</v>
      </c>
      <c r="C73">
        <v>107.94250000000001</v>
      </c>
    </row>
    <row r="74" spans="1:3" x14ac:dyDescent="0.3">
      <c r="A74" s="3">
        <v>41517</v>
      </c>
      <c r="C74">
        <v>110.52400000000003</v>
      </c>
    </row>
    <row r="75" spans="1:3" x14ac:dyDescent="0.3">
      <c r="A75" s="3">
        <v>41547</v>
      </c>
      <c r="C75">
        <v>111.6875</v>
      </c>
    </row>
    <row r="76" spans="1:3" x14ac:dyDescent="0.3">
      <c r="A76" s="3">
        <v>41578</v>
      </c>
      <c r="C76">
        <v>109.4025</v>
      </c>
    </row>
    <row r="77" spans="1:3" x14ac:dyDescent="0.3">
      <c r="A77" s="3">
        <v>41608</v>
      </c>
      <c r="C77">
        <v>108.054</v>
      </c>
    </row>
    <row r="78" spans="1:3" x14ac:dyDescent="0.3">
      <c r="A78" s="3">
        <v>41639</v>
      </c>
      <c r="C78">
        <v>111.0975</v>
      </c>
    </row>
    <row r="79" spans="1:3" x14ac:dyDescent="0.3">
      <c r="A79" s="3">
        <v>41670</v>
      </c>
      <c r="C79">
        <v>106.97999999999999</v>
      </c>
    </row>
    <row r="80" spans="1:3" x14ac:dyDescent="0.3">
      <c r="A80" s="3">
        <v>41698</v>
      </c>
      <c r="C80">
        <v>109.3925</v>
      </c>
    </row>
    <row r="81" spans="1:3" x14ac:dyDescent="0.3">
      <c r="A81" s="3">
        <v>41729</v>
      </c>
      <c r="C81">
        <v>108.14</v>
      </c>
    </row>
    <row r="82" spans="1:3" x14ac:dyDescent="0.3">
      <c r="A82" s="3">
        <v>41759</v>
      </c>
      <c r="C82">
        <v>108.29</v>
      </c>
    </row>
    <row r="83" spans="1:3" x14ac:dyDescent="0.3">
      <c r="A83" s="3">
        <v>41790</v>
      </c>
      <c r="C83">
        <v>109.23600000000002</v>
      </c>
    </row>
    <row r="84" spans="1:3" x14ac:dyDescent="0.3">
      <c r="A84" s="3">
        <v>41820</v>
      </c>
      <c r="C84">
        <v>112.5325</v>
      </c>
    </row>
    <row r="85" spans="1:3" x14ac:dyDescent="0.3">
      <c r="A85" s="3">
        <v>41851</v>
      </c>
      <c r="C85">
        <v>108.32249999999999</v>
      </c>
    </row>
    <row r="86" spans="1:3" x14ac:dyDescent="0.3">
      <c r="A86" s="3">
        <v>41882</v>
      </c>
      <c r="C86">
        <v>103.774</v>
      </c>
    </row>
    <row r="87" spans="1:3" x14ac:dyDescent="0.3">
      <c r="A87" s="3">
        <v>41912</v>
      </c>
      <c r="C87">
        <v>98.33</v>
      </c>
    </row>
    <row r="88" spans="1:3" x14ac:dyDescent="0.3">
      <c r="A88" s="3">
        <v>41943</v>
      </c>
      <c r="C88">
        <v>88.133999999999986</v>
      </c>
    </row>
    <row r="89" spans="1:3" x14ac:dyDescent="0.3">
      <c r="A89" s="3">
        <v>41973</v>
      </c>
      <c r="C89">
        <v>78.327500000000015</v>
      </c>
    </row>
    <row r="90" spans="1:3" x14ac:dyDescent="0.3">
      <c r="A90" s="3">
        <v>42004</v>
      </c>
      <c r="C90">
        <v>62.9375</v>
      </c>
    </row>
    <row r="91" spans="1:3" x14ac:dyDescent="0.3">
      <c r="A91" s="3">
        <v>42035</v>
      </c>
      <c r="C91">
        <v>51.695999999999991</v>
      </c>
    </row>
    <row r="92" spans="1:3" x14ac:dyDescent="0.3">
      <c r="A92" s="3">
        <v>42063</v>
      </c>
      <c r="C92">
        <v>60.53</v>
      </c>
    </row>
    <row r="93" spans="1:3" x14ac:dyDescent="0.3">
      <c r="A93" s="3">
        <v>42094</v>
      </c>
      <c r="C93">
        <v>56.532499999999999</v>
      </c>
    </row>
    <row r="94" spans="1:3" x14ac:dyDescent="0.3">
      <c r="A94" s="3">
        <v>42124</v>
      </c>
      <c r="C94">
        <v>60.387499999999996</v>
      </c>
    </row>
    <row r="95" spans="1:3" x14ac:dyDescent="0.3">
      <c r="A95" s="3">
        <v>42155</v>
      </c>
      <c r="C95">
        <v>65.917999999999992</v>
      </c>
    </row>
    <row r="96" spans="1:3" x14ac:dyDescent="0.3">
      <c r="A96" s="3">
        <v>42185</v>
      </c>
      <c r="C96">
        <v>63.365000000000002</v>
      </c>
    </row>
    <row r="97" spans="1:3" x14ac:dyDescent="0.3">
      <c r="A97" s="3">
        <v>42216</v>
      </c>
      <c r="C97">
        <v>56.946000000000005</v>
      </c>
    </row>
    <row r="98" spans="1:3" x14ac:dyDescent="0.3">
      <c r="A98" s="3">
        <v>42247</v>
      </c>
      <c r="C98">
        <v>48.287499999999994</v>
      </c>
    </row>
    <row r="99" spans="1:3" x14ac:dyDescent="0.3">
      <c r="A99" s="3">
        <v>42277</v>
      </c>
      <c r="C99">
        <v>48.454999999999998</v>
      </c>
    </row>
    <row r="100" spans="1:3" x14ac:dyDescent="0.3">
      <c r="A100" s="3">
        <v>42308</v>
      </c>
      <c r="C100">
        <v>49.758000000000003</v>
      </c>
    </row>
    <row r="101" spans="1:3" x14ac:dyDescent="0.3">
      <c r="A101" s="3">
        <v>42338</v>
      </c>
      <c r="C101">
        <v>45.137500000000003</v>
      </c>
    </row>
    <row r="102" spans="1:3" x14ac:dyDescent="0.3">
      <c r="A102" s="3">
        <v>42369</v>
      </c>
      <c r="C102">
        <v>38.924999999999997</v>
      </c>
    </row>
    <row r="103" spans="1:3" x14ac:dyDescent="0.3">
      <c r="A103" s="3">
        <v>42400</v>
      </c>
      <c r="C103">
        <v>33.338000000000001</v>
      </c>
    </row>
    <row r="104" spans="1:3" x14ac:dyDescent="0.3">
      <c r="A104" s="3">
        <v>42429</v>
      </c>
      <c r="C104">
        <v>33.8825</v>
      </c>
    </row>
    <row r="105" spans="1:3" x14ac:dyDescent="0.3">
      <c r="A105" s="3">
        <v>42460</v>
      </c>
      <c r="C105">
        <v>40.1875</v>
      </c>
    </row>
    <row r="106" spans="1:3" x14ac:dyDescent="0.3">
      <c r="A106" s="3">
        <v>42490</v>
      </c>
      <c r="C106">
        <v>43.39</v>
      </c>
    </row>
    <row r="107" spans="1:3" x14ac:dyDescent="0.3">
      <c r="A107" s="3">
        <v>42521</v>
      </c>
      <c r="C107">
        <v>47.809999999999995</v>
      </c>
    </row>
    <row r="108" spans="1:3" x14ac:dyDescent="0.3">
      <c r="A108" s="3">
        <v>42551</v>
      </c>
      <c r="C108">
        <v>49.440000000000005</v>
      </c>
    </row>
    <row r="109" spans="1:3" x14ac:dyDescent="0.3">
      <c r="A109" s="3">
        <v>42582</v>
      </c>
      <c r="C109">
        <v>46.573999999999998</v>
      </c>
    </row>
    <row r="110" spans="1:3" x14ac:dyDescent="0.3">
      <c r="A110" s="3">
        <v>42613</v>
      </c>
      <c r="C110">
        <v>48.010000000000005</v>
      </c>
    </row>
    <row r="111" spans="1:3" x14ac:dyDescent="0.3">
      <c r="A111" s="3">
        <v>42643</v>
      </c>
      <c r="C111">
        <v>47.112000000000002</v>
      </c>
    </row>
    <row r="112" spans="1:3" x14ac:dyDescent="0.3">
      <c r="A112" s="3">
        <v>42674</v>
      </c>
      <c r="C112">
        <v>51.342500000000001</v>
      </c>
    </row>
    <row r="113" spans="1:3" x14ac:dyDescent="0.3">
      <c r="A113" s="3">
        <v>42704</v>
      </c>
      <c r="C113">
        <v>46.107500000000002</v>
      </c>
    </row>
    <row r="114" spans="1:3" x14ac:dyDescent="0.3">
      <c r="A114" s="3">
        <v>42735</v>
      </c>
      <c r="C114">
        <v>55.196000000000005</v>
      </c>
    </row>
    <row r="115" spans="1:3" x14ac:dyDescent="0.3">
      <c r="A115" s="3">
        <v>42766</v>
      </c>
      <c r="C115">
        <v>55.890000000000008</v>
      </c>
    </row>
    <row r="116" spans="1:3" x14ac:dyDescent="0.3">
      <c r="A116" s="3">
        <v>42794</v>
      </c>
      <c r="C116">
        <v>56.327500000000001</v>
      </c>
    </row>
    <row r="117" spans="1:3" x14ac:dyDescent="0.3">
      <c r="A117" s="3">
        <v>42825</v>
      </c>
      <c r="C117">
        <v>52.531999999999996</v>
      </c>
    </row>
    <row r="118" spans="1:3" x14ac:dyDescent="0.3">
      <c r="A118" s="3">
        <v>42855</v>
      </c>
      <c r="C118">
        <v>53.704999999999998</v>
      </c>
    </row>
    <row r="119" spans="1:3" x14ac:dyDescent="0.3">
      <c r="A119" s="3">
        <v>42886</v>
      </c>
      <c r="C119">
        <v>51.425000000000004</v>
      </c>
    </row>
    <row r="120" spans="1:3" x14ac:dyDescent="0.3">
      <c r="A120" s="3">
        <v>42916</v>
      </c>
      <c r="C120">
        <v>47.786000000000001</v>
      </c>
    </row>
    <row r="121" spans="1:3" x14ac:dyDescent="0.3">
      <c r="A121" s="3">
        <v>42947</v>
      </c>
      <c r="C121">
        <v>49.050000000000004</v>
      </c>
    </row>
    <row r="122" spans="1:3" x14ac:dyDescent="0.3">
      <c r="A122" s="3">
        <v>42978</v>
      </c>
      <c r="C122">
        <v>52.412500000000001</v>
      </c>
    </row>
    <row r="123" spans="1:3" x14ac:dyDescent="0.3">
      <c r="A123" s="3">
        <v>43008</v>
      </c>
      <c r="C123">
        <v>55.283999999999992</v>
      </c>
    </row>
    <row r="124" spans="1:3" x14ac:dyDescent="0.3">
      <c r="A124" s="3">
        <v>43039</v>
      </c>
      <c r="C124">
        <v>57.744999999999997</v>
      </c>
    </row>
    <row r="125" spans="1:3" x14ac:dyDescent="0.3">
      <c r="A125" s="3">
        <v>43069</v>
      </c>
      <c r="C125">
        <v>63.042500000000004</v>
      </c>
    </row>
    <row r="126" spans="1:3" x14ac:dyDescent="0.3">
      <c r="A126" s="3">
        <v>43100</v>
      </c>
      <c r="C126">
        <v>64.496000000000009</v>
      </c>
    </row>
    <row r="127" spans="1:3" x14ac:dyDescent="0.3">
      <c r="A127" s="3">
        <v>43131</v>
      </c>
      <c r="C127">
        <v>69.155000000000001</v>
      </c>
    </row>
    <row r="128" spans="1:3" x14ac:dyDescent="0.3">
      <c r="A128" s="3">
        <v>43159</v>
      </c>
      <c r="C128">
        <v>65.88</v>
      </c>
    </row>
    <row r="129" spans="1:3" x14ac:dyDescent="0.3">
      <c r="A129" s="3">
        <v>43190</v>
      </c>
      <c r="C129">
        <v>67.35799999999999</v>
      </c>
    </row>
    <row r="130" spans="1:3" x14ac:dyDescent="0.3">
      <c r="A130" s="3">
        <v>43220</v>
      </c>
      <c r="C130">
        <v>72.097499999999997</v>
      </c>
    </row>
    <row r="131" spans="1:3" x14ac:dyDescent="0.3">
      <c r="A131" s="3">
        <v>43251</v>
      </c>
      <c r="C131">
        <v>76.734999999999999</v>
      </c>
    </row>
    <row r="132" spans="1:3" x14ac:dyDescent="0.3">
      <c r="A132" s="3">
        <v>43281</v>
      </c>
      <c r="C132">
        <v>76.335999999999999</v>
      </c>
    </row>
    <row r="133" spans="1:3" x14ac:dyDescent="0.3">
      <c r="A133" s="3">
        <v>43312</v>
      </c>
      <c r="B133">
        <v>536.40750000000003</v>
      </c>
      <c r="C133">
        <v>74.95</v>
      </c>
    </row>
    <row r="134" spans="1:3" x14ac:dyDescent="0.3">
      <c r="A134" s="3">
        <v>43343</v>
      </c>
      <c r="B134">
        <v>534.63200000000006</v>
      </c>
      <c r="C134">
        <v>74.217999999999989</v>
      </c>
    </row>
    <row r="135" spans="1:3" x14ac:dyDescent="0.3">
      <c r="A135" s="3">
        <v>43373</v>
      </c>
      <c r="B135">
        <v>556.38499999999999</v>
      </c>
      <c r="C135">
        <v>79.110000000000014</v>
      </c>
    </row>
    <row r="136" spans="1:3" x14ac:dyDescent="0.3">
      <c r="A136" s="3">
        <v>43404</v>
      </c>
      <c r="B136">
        <v>584.66249999999991</v>
      </c>
      <c r="C136">
        <v>80.497500000000002</v>
      </c>
    </row>
    <row r="137" spans="1:3" x14ac:dyDescent="0.3">
      <c r="A137" s="3">
        <v>43434</v>
      </c>
      <c r="B137">
        <v>497.12399999999997</v>
      </c>
      <c r="C137">
        <v>65.455999999999989</v>
      </c>
    </row>
    <row r="138" spans="1:3" x14ac:dyDescent="0.3">
      <c r="A138" s="3">
        <v>43465</v>
      </c>
      <c r="B138">
        <v>426.30250000000001</v>
      </c>
      <c r="C138">
        <v>56.992500000000007</v>
      </c>
    </row>
    <row r="139" spans="1:3" x14ac:dyDescent="0.3">
      <c r="A139" s="3">
        <v>43496</v>
      </c>
      <c r="B139">
        <v>451.64750000000004</v>
      </c>
      <c r="C139">
        <v>60.47</v>
      </c>
    </row>
    <row r="140" spans="1:3" x14ac:dyDescent="0.3">
      <c r="A140" s="3">
        <v>43524</v>
      </c>
      <c r="B140">
        <v>485.96749999999997</v>
      </c>
      <c r="C140">
        <v>64.555000000000007</v>
      </c>
    </row>
    <row r="141" spans="1:3" x14ac:dyDescent="0.3">
      <c r="A141" s="3">
        <v>43555</v>
      </c>
      <c r="B141">
        <v>496.51800000000003</v>
      </c>
      <c r="C141">
        <v>66.677999999999997</v>
      </c>
    </row>
    <row r="142" spans="1:3" x14ac:dyDescent="0.3">
      <c r="A142" s="3">
        <v>43585</v>
      </c>
      <c r="B142">
        <v>515.23</v>
      </c>
      <c r="C142">
        <v>71.502499999999998</v>
      </c>
    </row>
    <row r="143" spans="1:3" x14ac:dyDescent="0.3">
      <c r="A143" s="3">
        <v>43616</v>
      </c>
      <c r="B143">
        <v>507.904</v>
      </c>
      <c r="C143">
        <v>69.372</v>
      </c>
    </row>
    <row r="144" spans="1:3" x14ac:dyDescent="0.3">
      <c r="A144" s="3">
        <v>43646</v>
      </c>
      <c r="B144">
        <v>480.36500000000001</v>
      </c>
      <c r="C144">
        <v>64.262500000000003</v>
      </c>
    </row>
    <row r="145" spans="1:3" x14ac:dyDescent="0.3">
      <c r="A145" s="3">
        <v>43677</v>
      </c>
      <c r="B145">
        <v>489.84250000000003</v>
      </c>
      <c r="C145">
        <v>64.22</v>
      </c>
    </row>
    <row r="146" spans="1:3" x14ac:dyDescent="0.3">
      <c r="A146" s="3">
        <v>43708</v>
      </c>
      <c r="B146">
        <v>455.56400000000002</v>
      </c>
      <c r="C146">
        <v>59.765999999999998</v>
      </c>
    </row>
    <row r="147" spans="1:3" x14ac:dyDescent="0.3">
      <c r="A147" s="3">
        <v>43738</v>
      </c>
      <c r="B147">
        <v>466.37749999999994</v>
      </c>
      <c r="C147">
        <v>61.987499999999997</v>
      </c>
    </row>
    <row r="148" spans="1:3" x14ac:dyDescent="0.3">
      <c r="A148" s="3">
        <v>43769</v>
      </c>
      <c r="B148">
        <v>468.10499999999996</v>
      </c>
      <c r="C148">
        <v>60.080000000000005</v>
      </c>
    </row>
    <row r="149" spans="1:3" x14ac:dyDescent="0.3">
      <c r="A149" s="3">
        <v>43799</v>
      </c>
      <c r="B149">
        <v>475.19800000000004</v>
      </c>
      <c r="C149">
        <v>62.672000000000004</v>
      </c>
    </row>
    <row r="150" spans="1:3" x14ac:dyDescent="0.3">
      <c r="A150" s="3">
        <v>43830</v>
      </c>
      <c r="B150">
        <v>514.59249999999997</v>
      </c>
      <c r="C150">
        <v>65.977499999999992</v>
      </c>
    </row>
    <row r="151" spans="1:3" x14ac:dyDescent="0.3">
      <c r="A151" s="3">
        <v>43861</v>
      </c>
      <c r="B151">
        <v>506.18399999999991</v>
      </c>
      <c r="C151">
        <v>63.455999999999996</v>
      </c>
    </row>
    <row r="152" spans="1:3" x14ac:dyDescent="0.3">
      <c r="A152" s="3">
        <v>43890</v>
      </c>
      <c r="B152">
        <v>421.16750000000002</v>
      </c>
      <c r="C152">
        <v>55.202500000000001</v>
      </c>
    </row>
    <row r="153" spans="1:3" x14ac:dyDescent="0.3">
      <c r="A153" s="3">
        <v>43921</v>
      </c>
      <c r="B153">
        <v>258.60000000000002</v>
      </c>
      <c r="C153">
        <v>32.7575</v>
      </c>
    </row>
    <row r="154" spans="1:3" x14ac:dyDescent="0.3">
      <c r="A154" s="3">
        <v>43951</v>
      </c>
      <c r="B154">
        <v>219.68499999999997</v>
      </c>
      <c r="C154">
        <v>28.7775</v>
      </c>
    </row>
    <row r="155" spans="1:3" x14ac:dyDescent="0.3">
      <c r="A155" s="3">
        <v>43982</v>
      </c>
      <c r="B155">
        <v>224.75200000000001</v>
      </c>
      <c r="C155">
        <v>32.073999999999998</v>
      </c>
    </row>
    <row r="156" spans="1:3" x14ac:dyDescent="0.3">
      <c r="A156" s="3">
        <v>44012</v>
      </c>
      <c r="B156">
        <v>278.065</v>
      </c>
      <c r="C156">
        <v>41.06</v>
      </c>
    </row>
    <row r="157" spans="1:3" x14ac:dyDescent="0.3">
      <c r="A157" s="3">
        <v>44043</v>
      </c>
      <c r="B157">
        <v>303.18400000000003</v>
      </c>
      <c r="C157">
        <v>43.231999999999992</v>
      </c>
    </row>
    <row r="158" spans="1:3" x14ac:dyDescent="0.3">
      <c r="A158" s="3">
        <v>44074</v>
      </c>
      <c r="B158">
        <v>307.63499999999999</v>
      </c>
      <c r="C158">
        <v>44.649999999999991</v>
      </c>
    </row>
    <row r="159" spans="1:3" x14ac:dyDescent="0.3">
      <c r="A159" s="3">
        <v>44104</v>
      </c>
      <c r="B159">
        <v>287.58500000000004</v>
      </c>
      <c r="C159">
        <v>41.89</v>
      </c>
    </row>
    <row r="160" spans="1:3" x14ac:dyDescent="0.3">
      <c r="A160" s="3">
        <v>44135</v>
      </c>
      <c r="B160">
        <v>292.66399999999999</v>
      </c>
      <c r="C160">
        <v>40.856000000000009</v>
      </c>
    </row>
    <row r="161" spans="1:3" x14ac:dyDescent="0.3">
      <c r="A161" s="3">
        <v>44165</v>
      </c>
      <c r="B161">
        <v>318.21749999999997</v>
      </c>
      <c r="C161">
        <v>43.842500000000001</v>
      </c>
    </row>
    <row r="162" spans="1:3" x14ac:dyDescent="0.3">
      <c r="A162" s="3">
        <v>44196</v>
      </c>
      <c r="B162">
        <v>363.89249999999998</v>
      </c>
      <c r="C162">
        <v>50.692499999999995</v>
      </c>
    </row>
    <row r="163" spans="1:3" x14ac:dyDescent="0.3">
      <c r="A163" s="3">
        <v>44227</v>
      </c>
      <c r="B163">
        <v>395.30399999999997</v>
      </c>
      <c r="C163">
        <v>54.835999999999999</v>
      </c>
    </row>
    <row r="164" spans="1:3" x14ac:dyDescent="0.3">
      <c r="A164" s="3">
        <v>44255</v>
      </c>
      <c r="B164">
        <v>456.15750000000003</v>
      </c>
      <c r="C164">
        <v>62.702500000000001</v>
      </c>
    </row>
    <row r="165" spans="1:3" x14ac:dyDescent="0.3">
      <c r="A165" s="3">
        <v>44286</v>
      </c>
      <c r="B165">
        <v>473.22749999999996</v>
      </c>
      <c r="C165">
        <v>66.919999999999987</v>
      </c>
    </row>
    <row r="166" spans="1:3" x14ac:dyDescent="0.3">
      <c r="A166" s="3">
        <v>44316</v>
      </c>
      <c r="B166">
        <v>458.65800000000002</v>
      </c>
      <c r="C166">
        <v>65.587999999999994</v>
      </c>
    </row>
    <row r="167" spans="1:3" x14ac:dyDescent="0.3">
      <c r="A167" s="3">
        <v>44347</v>
      </c>
      <c r="B167">
        <v>469.65250000000003</v>
      </c>
      <c r="C167">
        <v>68.265000000000001</v>
      </c>
    </row>
    <row r="168" spans="1:3" x14ac:dyDescent="0.3">
      <c r="A168" s="3">
        <v>44377</v>
      </c>
      <c r="B168">
        <v>504.29750000000001</v>
      </c>
      <c r="C168">
        <v>73.567499999999995</v>
      </c>
    </row>
    <row r="169" spans="1:3" x14ac:dyDescent="0.3">
      <c r="A169" s="3">
        <v>44408</v>
      </c>
      <c r="B169">
        <v>516.52600000000007</v>
      </c>
      <c r="C169">
        <v>75.147999999999996</v>
      </c>
    </row>
    <row r="170" spans="1:3" x14ac:dyDescent="0.3">
      <c r="A170" s="3">
        <v>44439</v>
      </c>
      <c r="B170">
        <v>480.90999999999997</v>
      </c>
      <c r="C170">
        <v>69.792500000000004</v>
      </c>
    </row>
    <row r="171" spans="1:3" x14ac:dyDescent="0.3">
      <c r="A171" s="3">
        <v>44469</v>
      </c>
      <c r="B171">
        <v>511.43499999999995</v>
      </c>
      <c r="C171">
        <v>74.740000000000009</v>
      </c>
    </row>
    <row r="172" spans="1:3" x14ac:dyDescent="0.3">
      <c r="A172" s="3">
        <v>44500</v>
      </c>
      <c r="B172">
        <v>565.36799999999994</v>
      </c>
      <c r="C172">
        <v>83.288000000000011</v>
      </c>
    </row>
    <row r="173" spans="1:3" x14ac:dyDescent="0.3">
      <c r="A173" s="3">
        <v>44530</v>
      </c>
      <c r="B173">
        <v>540.59249999999997</v>
      </c>
      <c r="C173">
        <v>79.13</v>
      </c>
    </row>
    <row r="174" spans="1:3" x14ac:dyDescent="0.3">
      <c r="A174" s="3">
        <v>44561</v>
      </c>
      <c r="B174">
        <v>519.98800000000006</v>
      </c>
      <c r="C174">
        <v>74.635999999999996</v>
      </c>
    </row>
    <row r="175" spans="1:3" x14ac:dyDescent="0.3">
      <c r="A175" s="3">
        <v>44592</v>
      </c>
      <c r="B175">
        <v>596.9375</v>
      </c>
      <c r="C175">
        <v>86.432500000000005</v>
      </c>
    </row>
    <row r="176" spans="1:3" x14ac:dyDescent="0.3">
      <c r="A176" s="3">
        <v>44620</v>
      </c>
      <c r="B176">
        <v>658.24250000000006</v>
      </c>
      <c r="C176">
        <v>94.795000000000002</v>
      </c>
    </row>
    <row r="177" spans="1:3" x14ac:dyDescent="0.3">
      <c r="A177" s="3">
        <v>44651</v>
      </c>
      <c r="B177">
        <v>791.4325</v>
      </c>
      <c r="C177">
        <v>114.84</v>
      </c>
    </row>
    <row r="178" spans="1:3" x14ac:dyDescent="0.3">
      <c r="A178" s="3">
        <v>44681</v>
      </c>
      <c r="B178">
        <v>740.78800000000001</v>
      </c>
      <c r="C178">
        <v>106.97200000000001</v>
      </c>
    </row>
    <row r="179" spans="1:3" x14ac:dyDescent="0.3">
      <c r="A179" s="3">
        <v>44712</v>
      </c>
      <c r="B179">
        <v>779.58</v>
      </c>
      <c r="C179">
        <v>113.98</v>
      </c>
    </row>
    <row r="180" spans="1:3" x14ac:dyDescent="0.3">
      <c r="A180" s="3">
        <v>44742</v>
      </c>
      <c r="B180">
        <v>829.05000000000007</v>
      </c>
      <c r="C180">
        <v>116.99250000000001</v>
      </c>
    </row>
    <row r="181" spans="1:3" x14ac:dyDescent="0.3">
      <c r="A181" s="3">
        <v>44773</v>
      </c>
      <c r="B181">
        <v>720.85799999999995</v>
      </c>
      <c r="C181">
        <v>106.604</v>
      </c>
    </row>
    <row r="182" spans="1:3" x14ac:dyDescent="0.3">
      <c r="A182" s="3">
        <v>44804</v>
      </c>
      <c r="B182">
        <v>653.76750000000004</v>
      </c>
      <c r="C182">
        <v>97.694999999999993</v>
      </c>
    </row>
    <row r="183" spans="1:3" x14ac:dyDescent="0.3">
      <c r="A183" s="3">
        <v>44834</v>
      </c>
      <c r="B183">
        <v>596.35599999999999</v>
      </c>
      <c r="C183">
        <v>90.263999999999996</v>
      </c>
    </row>
    <row r="184" spans="1:3" x14ac:dyDescent="0.3">
      <c r="A184" s="3">
        <v>44865</v>
      </c>
      <c r="B184">
        <v>611.70749999999998</v>
      </c>
      <c r="C184">
        <v>94.704999999999998</v>
      </c>
    </row>
    <row r="185" spans="1:3" x14ac:dyDescent="0.3">
      <c r="A185" s="3">
        <v>44895</v>
      </c>
      <c r="B185">
        <v>563.98</v>
      </c>
      <c r="C185">
        <v>91.452500000000001</v>
      </c>
    </row>
    <row r="186" spans="1:3" x14ac:dyDescent="0.3">
      <c r="A186" s="3">
        <v>44926</v>
      </c>
      <c r="B186">
        <v>502.95</v>
      </c>
      <c r="C186">
        <v>82.10799999999999</v>
      </c>
    </row>
    <row r="187" spans="1:3" x14ac:dyDescent="0.3">
      <c r="A187" s="3">
        <v>44957</v>
      </c>
      <c r="B187">
        <v>538.4</v>
      </c>
      <c r="C187">
        <v>84.534999999999997</v>
      </c>
    </row>
    <row r="188" spans="1:3" x14ac:dyDescent="0.3">
      <c r="A188" s="3">
        <v>44985</v>
      </c>
      <c r="B188">
        <v>534.17750000000001</v>
      </c>
      <c r="C188">
        <v>83.122500000000002</v>
      </c>
    </row>
    <row r="189" spans="1:3" x14ac:dyDescent="0.3">
      <c r="A189" s="3">
        <v>45016</v>
      </c>
      <c r="B189">
        <v>513.548</v>
      </c>
      <c r="C189">
        <v>79.268000000000001</v>
      </c>
    </row>
    <row r="190" spans="1:3" x14ac:dyDescent="0.3">
      <c r="A190" s="3">
        <v>45046</v>
      </c>
      <c r="B190">
        <v>533.38000000000011</v>
      </c>
      <c r="C190">
        <v>83.157499999999999</v>
      </c>
    </row>
    <row r="191" spans="1:3" x14ac:dyDescent="0.3">
      <c r="A191" s="3">
        <v>45077</v>
      </c>
      <c r="B191">
        <v>488.13750000000005</v>
      </c>
      <c r="C191">
        <v>75.5</v>
      </c>
    </row>
    <row r="192" spans="1:3" x14ac:dyDescent="0.3">
      <c r="A192" s="3">
        <v>45107</v>
      </c>
      <c r="B192">
        <v>502.49399999999997</v>
      </c>
      <c r="C192">
        <v>75.256</v>
      </c>
    </row>
    <row r="193" spans="1:3" x14ac:dyDescent="0.3">
      <c r="A193" s="3">
        <v>45138</v>
      </c>
      <c r="B193">
        <v>529.44749999999999</v>
      </c>
      <c r="C193">
        <v>81.099999999999994</v>
      </c>
    </row>
    <row r="194" spans="1:3" x14ac:dyDescent="0.3">
      <c r="A194" s="3">
        <v>45169</v>
      </c>
      <c r="B194">
        <v>571.76250000000005</v>
      </c>
      <c r="C194">
        <v>85.58250000000001</v>
      </c>
    </row>
    <row r="195" spans="1:3" x14ac:dyDescent="0.3">
      <c r="A195" s="3">
        <v>45199</v>
      </c>
      <c r="B195">
        <v>590.72799999999995</v>
      </c>
      <c r="C195">
        <v>92.341999999999999</v>
      </c>
    </row>
    <row r="196" spans="1:3" x14ac:dyDescent="0.3">
      <c r="A196" s="3">
        <v>45230</v>
      </c>
      <c r="B196">
        <v>571.15750000000003</v>
      </c>
      <c r="C196">
        <v>89.527500000000003</v>
      </c>
    </row>
    <row r="197" spans="1:3" x14ac:dyDescent="0.3">
      <c r="A197" s="3">
        <v>45260</v>
      </c>
      <c r="B197">
        <v>540.5474999999999</v>
      </c>
      <c r="C197">
        <v>81.877499999999998</v>
      </c>
    </row>
    <row r="198" spans="1:3" x14ac:dyDescent="0.3">
      <c r="A198" s="3">
        <v>45291</v>
      </c>
      <c r="B198">
        <v>520.84799999999996</v>
      </c>
      <c r="C198">
        <v>77.475999999999999</v>
      </c>
    </row>
    <row r="199" spans="1:3" x14ac:dyDescent="0.3">
      <c r="A199" s="3">
        <v>45322</v>
      </c>
      <c r="B199">
        <v>534.32249999999999</v>
      </c>
      <c r="C199">
        <v>79.790000000000006</v>
      </c>
    </row>
    <row r="200" spans="1:3" x14ac:dyDescent="0.3">
      <c r="A200" s="3">
        <v>45351</v>
      </c>
      <c r="B200">
        <v>548.745</v>
      </c>
      <c r="C200">
        <v>81.152500000000003</v>
      </c>
    </row>
    <row r="201" spans="1:3" x14ac:dyDescent="0.3">
      <c r="A201" s="3">
        <v>45382</v>
      </c>
      <c r="B201">
        <v>573.97</v>
      </c>
      <c r="C201">
        <v>84.775999999999996</v>
      </c>
    </row>
    <row r="202" spans="1:3" x14ac:dyDescent="0.3">
      <c r="A202" s="3">
        <v>45412</v>
      </c>
      <c r="B202">
        <v>592.48</v>
      </c>
      <c r="C202">
        <v>89.602500000000006</v>
      </c>
    </row>
    <row r="203" spans="1:3" x14ac:dyDescent="0.3">
      <c r="A203" s="3">
        <v>45443</v>
      </c>
      <c r="B203">
        <v>542.73400000000004</v>
      </c>
      <c r="C203">
        <v>82.694000000000003</v>
      </c>
    </row>
    <row r="204" spans="1:3" x14ac:dyDescent="0.3">
      <c r="A204" s="3">
        <v>45473</v>
      </c>
      <c r="B204">
        <v>542.56000000000006</v>
      </c>
      <c r="C204">
        <v>83.472499999999997</v>
      </c>
    </row>
    <row r="205" spans="1:3" x14ac:dyDescent="0.3">
      <c r="A205" s="3">
        <v>45504</v>
      </c>
      <c r="B205">
        <v>547.67250000000001</v>
      </c>
      <c r="C205">
        <v>83.832499999999996</v>
      </c>
    </row>
    <row r="206" spans="1:3" x14ac:dyDescent="0.3">
      <c r="A206" s="3">
        <v>45535</v>
      </c>
      <c r="B206">
        <v>521.60600000000011</v>
      </c>
      <c r="C206">
        <v>78.794000000000011</v>
      </c>
    </row>
    <row r="207" spans="1:3" x14ac:dyDescent="0.3">
      <c r="A207" s="3">
        <v>45565</v>
      </c>
      <c r="B207">
        <v>486.39249999999993</v>
      </c>
      <c r="C207">
        <v>72.285000000000011</v>
      </c>
    </row>
    <row r="208" spans="1:3" x14ac:dyDescent="0.3">
      <c r="A208" s="3">
        <v>45596</v>
      </c>
      <c r="B208">
        <v>513.46749999999997</v>
      </c>
      <c r="C208">
        <v>76.55</v>
      </c>
    </row>
    <row r="209" spans="1:3" x14ac:dyDescent="0.3">
      <c r="A209" s="3">
        <v>45626</v>
      </c>
      <c r="B209">
        <v>490.34199999999998</v>
      </c>
      <c r="C209">
        <v>73.224000000000004</v>
      </c>
    </row>
    <row r="210" spans="1:3" x14ac:dyDescent="0.3">
      <c r="A210" s="3">
        <v>45657</v>
      </c>
      <c r="B210">
        <v>505.13249999999999</v>
      </c>
      <c r="C210">
        <v>73.180000000000007</v>
      </c>
    </row>
    <row r="211" spans="1:3" x14ac:dyDescent="0.3">
      <c r="A211" s="3">
        <v>45688</v>
      </c>
      <c r="B211">
        <v>524.976</v>
      </c>
      <c r="C211">
        <v>78.463999999999999</v>
      </c>
    </row>
    <row r="212" spans="1:3" x14ac:dyDescent="0.3">
      <c r="A212" s="3">
        <v>45716</v>
      </c>
      <c r="B212">
        <v>502.67249999999996</v>
      </c>
      <c r="C212">
        <v>74.252499999999998</v>
      </c>
    </row>
    <row r="213" spans="1:3" x14ac:dyDescent="0.3">
      <c r="A213" s="3">
        <v>45747</v>
      </c>
      <c r="B213">
        <v>468.57749999999999</v>
      </c>
      <c r="C213">
        <v>71.682500000000005</v>
      </c>
    </row>
    <row r="214" spans="1:3" x14ac:dyDescent="0.3">
      <c r="A214" s="3">
        <v>45777</v>
      </c>
      <c r="B214">
        <v>437.19749999999999</v>
      </c>
      <c r="C214">
        <v>66.292500000000004</v>
      </c>
    </row>
    <row r="215" spans="1:3" x14ac:dyDescent="0.3">
      <c r="A215" s="3">
        <v>45808</v>
      </c>
      <c r="B215">
        <v>438.07</v>
      </c>
      <c r="C215">
        <v>63.85799999999999</v>
      </c>
    </row>
    <row r="216" spans="1:3" x14ac:dyDescent="0.3">
      <c r="A216" s="3">
        <v>45838</v>
      </c>
      <c r="B216">
        <v>481.86999999999995</v>
      </c>
      <c r="C216">
        <v>71.36999999999999</v>
      </c>
    </row>
    <row r="217" spans="1:3" x14ac:dyDescent="0.3">
      <c r="A217" s="3">
        <v>45869</v>
      </c>
      <c r="B217">
        <v>468.49749999999995</v>
      </c>
      <c r="C217">
        <v>69.22</v>
      </c>
    </row>
    <row r="218" spans="1:3" x14ac:dyDescent="0.3">
      <c r="A218" s="3">
        <v>45900</v>
      </c>
      <c r="B218">
        <v>457.09000000000003</v>
      </c>
      <c r="C218">
        <v>67.591999999999999</v>
      </c>
    </row>
    <row r="219" spans="1:3" x14ac:dyDescent="0.3">
      <c r="A219" s="3">
        <v>45930</v>
      </c>
      <c r="B219">
        <v>435.1</v>
      </c>
      <c r="C219">
        <v>67.325000000000003</v>
      </c>
    </row>
    <row r="220" spans="1:3" x14ac:dyDescent="0.3">
      <c r="A220" s="3">
        <v>45961</v>
      </c>
      <c r="B220">
        <v>411.58199999999999</v>
      </c>
      <c r="C220">
        <v>63.911999999999992</v>
      </c>
    </row>
    <row r="221" spans="1:3" x14ac:dyDescent="0.3">
      <c r="A221" s="3">
        <v>45991</v>
      </c>
      <c r="B221">
        <v>402.58500000000004</v>
      </c>
      <c r="C221">
        <v>63.445000000000007</v>
      </c>
    </row>
    <row r="222" spans="1:3" x14ac:dyDescent="0.3">
      <c r="A222" s="3">
        <v>46022</v>
      </c>
      <c r="B222">
        <v>380.79749999999996</v>
      </c>
      <c r="C222">
        <v>61.495000000000005</v>
      </c>
    </row>
    <row r="223" spans="1:3" x14ac:dyDescent="0.3">
      <c r="A223" s="3">
        <v>46053</v>
      </c>
      <c r="B223">
        <v>392.19200000000001</v>
      </c>
      <c r="C223">
        <v>64.957999999999998</v>
      </c>
    </row>
    <row r="224" spans="1:3" x14ac:dyDescent="0.3">
      <c r="A224" s="3">
        <v>46081</v>
      </c>
      <c r="B224">
        <v>416.45</v>
      </c>
      <c r="C224">
        <v>68.116666666666674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Oil Price History</vt:lpstr>
      <vt:lpstr>Oil_Monthly</vt:lpstr>
      <vt:lpstr>Forecast sheet</vt:lpstr>
      <vt:lpstr>Future price</vt:lpstr>
      <vt:lpstr>Oil_price_relationship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Huỳnh</dc:creator>
  <cp:lastModifiedBy>Nguyên Huỳnh</cp:lastModifiedBy>
  <dcterms:created xsi:type="dcterms:W3CDTF">2026-02-26T04:42:28Z</dcterms:created>
  <dcterms:modified xsi:type="dcterms:W3CDTF">2026-02-26T15:20:18Z</dcterms:modified>
</cp:coreProperties>
</file>